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G:\DEMOGRAPHICS\"/>
    </mc:Choice>
  </mc:AlternateContent>
  <xr:revisionPtr revIDLastSave="0" documentId="13_ncr:1_{EEB3C8B0-83D9-4AFE-BF0C-C65ACF84A780}" xr6:coauthVersionLast="47" xr6:coauthVersionMax="47" xr10:uidLastSave="{00000000-0000-0000-0000-000000000000}"/>
  <bookViews>
    <workbookView xWindow="28680" yWindow="-120" windowWidth="29040" windowHeight="15720" tabRatio="897" xr2:uid="{45C5EF70-6AC1-4715-A9EA-88F1003CA4B3}"/>
  </bookViews>
  <sheets>
    <sheet name="Summary" sheetId="6" r:id="rId1"/>
    <sheet name="PASTE 1 MILE TABS ----&gt;" sheetId="31" r:id="rId2"/>
    <sheet name="1 mile summary tab" sheetId="29" r:id="rId3"/>
    <sheet name="1 mile demo quick" sheetId="28" r:id="rId4"/>
    <sheet name="1 mile 2025" sheetId="27" r:id="rId5"/>
    <sheet name="1 mile 2030" sheetId="25" r:id="rId6"/>
    <sheet name="1 mile age of HHer" sheetId="26" r:id="rId7"/>
    <sheet name="PASTE 3 MILE TABS ----&gt;" sheetId="32" r:id="rId8"/>
    <sheet name="3 mile summary" sheetId="24" r:id="rId9"/>
    <sheet name="3 mile demo quick" sheetId="23" r:id="rId10"/>
    <sheet name="3 mile 2025" sheetId="22" r:id="rId11"/>
    <sheet name="3 mile 2030" sheetId="21" r:id="rId12"/>
    <sheet name="3 mile age of HHer" sheetId="20" r:id="rId13"/>
    <sheet name="PASTE 5 MILE TABS ----&gt;" sheetId="33" r:id="rId14"/>
    <sheet name="5 mile summary" sheetId="19" r:id="rId15"/>
    <sheet name="5 mile demo quick" sheetId="18" r:id="rId16"/>
    <sheet name="5 mile 2025" sheetId="17" r:id="rId17"/>
    <sheet name="5 mile 2030" sheetId="16" r:id="rId18"/>
    <sheet name="5 mile age of HHer" sheetId="15" r:id="rId19"/>
    <sheet name="Sheet1" sheetId="34" r:id="rId20"/>
  </sheets>
  <definedNames>
    <definedName name="_xlnm.Print_Area" localSheetId="0">Summary!$A$1:$S$49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6" l="1"/>
  <c r="E36" i="6"/>
  <c r="E35" i="6"/>
  <c r="E34" i="6"/>
  <c r="D37" i="6"/>
  <c r="D36" i="6"/>
  <c r="D35" i="6"/>
  <c r="D34" i="6"/>
  <c r="H37" i="6"/>
  <c r="H36" i="6"/>
  <c r="H35" i="6"/>
  <c r="H34" i="6"/>
  <c r="G37" i="6"/>
  <c r="G36" i="6"/>
  <c r="G35" i="6"/>
  <c r="G34" i="6"/>
  <c r="K37" i="6"/>
  <c r="K36" i="6"/>
  <c r="K35" i="6"/>
  <c r="K34" i="6"/>
  <c r="J37" i="6"/>
  <c r="J36" i="6"/>
  <c r="J35" i="6"/>
  <c r="J34" i="6"/>
  <c r="H29" i="6"/>
  <c r="H31" i="6" s="1"/>
  <c r="H25" i="6"/>
  <c r="H27" i="6" s="1"/>
  <c r="H20" i="6"/>
  <c r="H22" i="6"/>
  <c r="H16" i="6"/>
  <c r="H18" i="6" s="1"/>
  <c r="H12" i="6"/>
  <c r="H14" i="6" s="1"/>
  <c r="K29" i="6"/>
  <c r="K31" i="6" s="1"/>
  <c r="K25" i="6"/>
  <c r="K27" i="6" s="1"/>
  <c r="K20" i="6"/>
  <c r="K22" i="6" s="1"/>
  <c r="K16" i="6"/>
  <c r="K18" i="6" s="1"/>
  <c r="K12" i="6"/>
  <c r="K14" i="6" s="1"/>
  <c r="K42" i="6"/>
  <c r="H42" i="6"/>
  <c r="E42" i="6"/>
  <c r="K40" i="6"/>
  <c r="H40" i="6"/>
  <c r="E40" i="6"/>
  <c r="K38" i="6"/>
  <c r="H38" i="6"/>
  <c r="E38" i="6"/>
  <c r="D38" i="6" l="1"/>
  <c r="J29" i="6"/>
  <c r="J31" i="6" s="1"/>
  <c r="N31" i="6" s="1"/>
  <c r="J25" i="6"/>
  <c r="J26" i="6" s="1"/>
  <c r="N26" i="6" s="1"/>
  <c r="J20" i="6"/>
  <c r="N20" i="6" s="1"/>
  <c r="J22" i="6"/>
  <c r="N22" i="6" s="1"/>
  <c r="J16" i="6"/>
  <c r="N16" i="6" s="1"/>
  <c r="K26" i="6"/>
  <c r="K21" i="6"/>
  <c r="G29" i="6"/>
  <c r="G25" i="6"/>
  <c r="G27" i="6" s="1"/>
  <c r="I25" i="6"/>
  <c r="G20" i="6"/>
  <c r="G22" i="6" s="1"/>
  <c r="G21" i="6"/>
  <c r="H21" i="6"/>
  <c r="I20" i="6"/>
  <c r="G16" i="6"/>
  <c r="G18" i="6" s="1"/>
  <c r="J12" i="6"/>
  <c r="J13" i="6" s="1"/>
  <c r="N13" i="6" s="1"/>
  <c r="L12" i="6"/>
  <c r="K13" i="6"/>
  <c r="G12" i="6"/>
  <c r="G8" i="6" s="1"/>
  <c r="G14" i="6"/>
  <c r="G13" i="6"/>
  <c r="H13" i="6"/>
  <c r="F34" i="6"/>
  <c r="F38" i="6"/>
  <c r="L37" i="6"/>
  <c r="L36" i="6"/>
  <c r="L35" i="6"/>
  <c r="L34" i="6"/>
  <c r="I37" i="6"/>
  <c r="I36" i="6"/>
  <c r="N36" i="6"/>
  <c r="N35" i="6"/>
  <c r="I34" i="6"/>
  <c r="N34" i="6"/>
  <c r="F37" i="6"/>
  <c r="F36" i="6"/>
  <c r="F35" i="6"/>
  <c r="A49" i="6"/>
  <c r="A48" i="6"/>
  <c r="A47" i="6"/>
  <c r="J42" i="6"/>
  <c r="L42" i="6" s="1"/>
  <c r="J40" i="6"/>
  <c r="L40" i="6" s="1"/>
  <c r="J38" i="6"/>
  <c r="L38" i="6" s="1"/>
  <c r="G42" i="6"/>
  <c r="G40" i="6"/>
  <c r="I40" i="6" s="1"/>
  <c r="G38" i="6"/>
  <c r="I38" i="6" s="1"/>
  <c r="D42" i="6"/>
  <c r="F42" i="6" s="1"/>
  <c r="D40" i="6"/>
  <c r="F40" i="6" s="1"/>
  <c r="E6" i="6"/>
  <c r="E44" i="6"/>
  <c r="E45" i="6"/>
  <c r="K45" i="6"/>
  <c r="H45" i="6"/>
  <c r="N5" i="6"/>
  <c r="N45" i="6" s="1"/>
  <c r="N6" i="6"/>
  <c r="J6" i="6"/>
  <c r="J44" i="6"/>
  <c r="D44" i="6"/>
  <c r="G6" i="6"/>
  <c r="G44" i="6"/>
  <c r="J21" i="6"/>
  <c r="N21" i="6" s="1"/>
  <c r="J18" i="6"/>
  <c r="N18" i="6" s="1"/>
  <c r="J17" i="6"/>
  <c r="N17" i="6" s="1"/>
  <c r="L16" i="6"/>
  <c r="K17" i="6"/>
  <c r="H30" i="6"/>
  <c r="K6" i="6"/>
  <c r="K44" i="6"/>
  <c r="H6" i="6"/>
  <c r="H44" i="6"/>
  <c r="J30" i="6"/>
  <c r="N30" i="6" s="1"/>
  <c r="L29" i="6"/>
  <c r="J14" i="6"/>
  <c r="N14" i="6"/>
  <c r="J8" i="6"/>
  <c r="N8" i="6" s="1"/>
  <c r="N25" i="6"/>
  <c r="L20" i="6"/>
  <c r="G26" i="6"/>
  <c r="H17" i="6"/>
  <c r="I35" i="6"/>
  <c r="N37" i="6"/>
  <c r="I12" i="6"/>
  <c r="N42" i="6"/>
  <c r="J10" i="6"/>
  <c r="N10" i="6"/>
  <c r="G31" i="6" l="1"/>
  <c r="I29" i="6"/>
  <c r="N12" i="6"/>
  <c r="K30" i="6"/>
  <c r="J27" i="6"/>
  <c r="N27" i="6" s="1"/>
  <c r="J9" i="6"/>
  <c r="N9" i="6" s="1"/>
  <c r="L25" i="6"/>
  <c r="N29" i="6"/>
  <c r="K8" i="6"/>
  <c r="K10" i="6" s="1"/>
  <c r="G10" i="6"/>
  <c r="G9" i="6"/>
  <c r="G30" i="6"/>
  <c r="I16" i="6"/>
  <c r="H8" i="6"/>
  <c r="H10" i="6" s="1"/>
  <c r="H26" i="6"/>
  <c r="G17" i="6"/>
  <c r="I42" i="6"/>
  <c r="N38" i="6"/>
  <c r="N40" i="6"/>
  <c r="L8" i="6" l="1"/>
  <c r="K9" i="6"/>
  <c r="H9" i="6"/>
  <c r="I8" i="6"/>
</calcChain>
</file>

<file path=xl/sharedStrings.xml><?xml version="1.0" encoding="utf-8"?>
<sst xmlns="http://schemas.openxmlformats.org/spreadsheetml/2006/main" count="886" uniqueCount="162">
  <si>
    <t>1 Mile</t>
  </si>
  <si>
    <t>5 Miles</t>
  </si>
  <si>
    <t>n/a</t>
  </si>
  <si>
    <t>Demographic Summary</t>
  </si>
  <si>
    <t>Adult Children</t>
  </si>
  <si>
    <t>% of CG Households</t>
  </si>
  <si>
    <t>$100k+</t>
  </si>
  <si>
    <t>$75k+</t>
  </si>
  <si>
    <t>Seniors</t>
  </si>
  <si>
    <t>$50k+</t>
  </si>
  <si>
    <t>$25k+</t>
  </si>
  <si>
    <t>75+</t>
  </si>
  <si>
    <t>Affluence</t>
  </si>
  <si>
    <t>Median Income 45-54</t>
  </si>
  <si>
    <t>Median Income 85+</t>
  </si>
  <si>
    <t>Median Home Value</t>
  </si>
  <si>
    <t>Median Income All Ages</t>
  </si>
  <si>
    <t>% Change</t>
  </si>
  <si>
    <t>45-64 (All CG)</t>
  </si>
  <si>
    <t>% of Senior Households</t>
  </si>
  <si>
    <t>45-54 (Younger CG)</t>
  </si>
  <si>
    <t>55-64 (Older CG)</t>
  </si>
  <si>
    <t>Median Income 55-64</t>
  </si>
  <si>
    <t>Median Income 75-84</t>
  </si>
  <si>
    <t>Age 85+</t>
  </si>
  <si>
    <t>Household Totals</t>
  </si>
  <si>
    <t>Income $15,000 - $24,999</t>
  </si>
  <si>
    <t>Income $25,000 - $34,999</t>
  </si>
  <si>
    <t>Income $35,000 - $49,999</t>
  </si>
  <si>
    <t>Income $50,000 - $74,999</t>
  </si>
  <si>
    <t>Income $75,000 - $99,999</t>
  </si>
  <si>
    <t>Income $100,000 - $124,999</t>
  </si>
  <si>
    <t>Income $125,000 - $149,999</t>
  </si>
  <si>
    <t>Income $150,000 - $199,999</t>
  </si>
  <si>
    <t>Median Household Income</t>
  </si>
  <si>
    <t>%</t>
  </si>
  <si>
    <t>Total</t>
  </si>
  <si>
    <t>Population</t>
  </si>
  <si>
    <t>Households</t>
  </si>
  <si>
    <t>Families</t>
  </si>
  <si>
    <t>Group Quarters Population</t>
  </si>
  <si>
    <t>Housing Units</t>
  </si>
  <si>
    <t>CY HHs, EBI &lt; $15,000</t>
  </si>
  <si>
    <t>CY HHs, EBI $15,000 - $24,999</t>
  </si>
  <si>
    <t>CY HHs, EBI $25,000 - $34,999</t>
  </si>
  <si>
    <t>CY HHs, EBI $35,000 - $49,999</t>
  </si>
  <si>
    <t>CY HHs, EBI $50,000 - $74,999</t>
  </si>
  <si>
    <t>CY HHs, EBI $75,000 - $99,999</t>
  </si>
  <si>
    <t>CY HHs, EBI $100,000 - $124,999</t>
  </si>
  <si>
    <t>CY HHs, EBI $125,000 - $149,999</t>
  </si>
  <si>
    <t>CY HHs, EBI $150,000 - $199,999</t>
  </si>
  <si>
    <t>CY HHs, EBI $200,000 - $249,999</t>
  </si>
  <si>
    <t>CY HHs, EBI $250,000 - $499,999</t>
  </si>
  <si>
    <t>CY HHs, EBI $500,000+</t>
  </si>
  <si>
    <t>FY HHs, EBI &lt; $15,000</t>
  </si>
  <si>
    <t>FY HHs, EBI $15,000 - $24,999</t>
  </si>
  <si>
    <t>FY HHs, EBI $25,000 - $34,999</t>
  </si>
  <si>
    <t>FY HHs, EBI $35,000 - $49,999</t>
  </si>
  <si>
    <t>FY HHs, EBI $50,000 - $74,999</t>
  </si>
  <si>
    <t>FY HHs, EBI $75,000 - $99,999</t>
  </si>
  <si>
    <t>FY HHs, EBI $100,000 - $124,999</t>
  </si>
  <si>
    <t>FY HHs, EBI $125,000 - $149,999</t>
  </si>
  <si>
    <t>FY HHs, EBI $150,000 - $199,999</t>
  </si>
  <si>
    <t>FY HHs, EBI $200,000 - $249,999</t>
  </si>
  <si>
    <t>FY HHs, EBI $250,000 - $499,999</t>
  </si>
  <si>
    <t>FY HHs, EBI $500,000+</t>
  </si>
  <si>
    <t>Median Age</t>
  </si>
  <si>
    <t>% of All Households</t>
  </si>
  <si>
    <t>Average</t>
  </si>
  <si>
    <t>High</t>
  </si>
  <si>
    <t>Low</t>
  </si>
  <si>
    <t>2010 Census</t>
  </si>
  <si>
    <t>Population Growth</t>
  </si>
  <si>
    <t>Household Growth</t>
  </si>
  <si>
    <t>Family Households</t>
  </si>
  <si>
    <t>Family Household Growth</t>
  </si>
  <si>
    <t>White Alone</t>
  </si>
  <si>
    <t>Black/African American Alone</t>
  </si>
  <si>
    <t>American Indian/Alaskan Native Alone</t>
  </si>
  <si>
    <t>Asian Alone</t>
  </si>
  <si>
    <t>Native Hawaiian/Pacific Islander Alone</t>
  </si>
  <si>
    <t>Some Other Race Alone</t>
  </si>
  <si>
    <t>Two or More Races</t>
  </si>
  <si>
    <t>Hispanic/Latino</t>
  </si>
  <si>
    <t>Not Hispanic/Latino</t>
  </si>
  <si>
    <t>Owner-Occupied</t>
  </si>
  <si>
    <t>Renter-Occupied</t>
  </si>
  <si>
    <t>Average Household Size</t>
  </si>
  <si>
    <t>--</t>
  </si>
  <si>
    <t>Income &lt; $15,000</t>
  </si>
  <si>
    <t>Income $200,000 - $249,999</t>
  </si>
  <si>
    <t>Income $250,000 - $499,999</t>
  </si>
  <si>
    <t>Income $500,000+</t>
  </si>
  <si>
    <t>Average Household Income</t>
  </si>
  <si>
    <t>Median All Owner-Occupied Housing Value</t>
  </si>
  <si>
    <t>Average Effective Buying Income</t>
  </si>
  <si>
    <t>Median Effective Buying Income</t>
  </si>
  <si>
    <t>Aggregate Effective Buying Income</t>
  </si>
  <si>
    <t>Age 15-24</t>
  </si>
  <si>
    <t>Age 25-34</t>
  </si>
  <si>
    <t>Age 35-44</t>
  </si>
  <si>
    <t>Age 45-54</t>
  </si>
  <si>
    <t>Age 55-64</t>
  </si>
  <si>
    <t>Age 65-74</t>
  </si>
  <si>
    <t>Age 75-84</t>
  </si>
  <si>
    <t>Median HH Income</t>
  </si>
  <si>
    <t>Coip</t>
  </si>
  <si>
    <t>Source: Neilson/Claritas</t>
  </si>
  <si>
    <t>Benchmark: USA</t>
  </si>
  <si>
    <t>HHs</t>
  </si>
  <si>
    <t>Income Less Than $15,000</t>
  </si>
  <si>
    <t>Income $200,000+</t>
  </si>
  <si>
    <t>FDG thru Ridgefield (at 5 miles)</t>
  </si>
  <si>
    <t>3 Miles</t>
  </si>
  <si>
    <t>Median Household Effective Buying Income</t>
  </si>
  <si>
    <t>Average Household Effective Buying Income</t>
  </si>
  <si>
    <t>Aggregate Household Effective Buying Income</t>
  </si>
  <si>
    <t>US</t>
  </si>
  <si>
    <t>United</t>
  </si>
  <si>
    <t>States</t>
  </si>
  <si>
    <t>2020 Census</t>
  </si>
  <si>
    <t>Percent Change: 2010 to 2020</t>
  </si>
  <si>
    <t>*Claritas 2024</t>
  </si>
  <si>
    <r>
      <rPr>
        <sz val="24"/>
        <color rgb="FFF56600"/>
        <rFont val="Arial"/>
      </rPr>
      <t>Pop-Facts® Demographic Quick Facts |</t>
    </r>
    <r>
      <rPr>
        <sz val="18"/>
        <rFont val="Arial"/>
      </rPr>
      <t xml:space="preserve"> Summary</t>
    </r>
  </si>
  <si>
    <t>2025 Estimate</t>
  </si>
  <si>
    <t>2030 Projection</t>
  </si>
  <si>
    <t>Percent Change: 2020 to 2025</t>
  </si>
  <si>
    <t>Percent Change: 2025 to 2030</t>
  </si>
  <si>
    <r>
      <rPr>
        <sz val="24"/>
        <color rgb="FFF56600"/>
        <rFont val="Arial"/>
      </rPr>
      <t>Pop-Facts® Demographic Quick Facts |</t>
    </r>
    <r>
      <rPr>
        <sz val="18"/>
        <rFont val="Arial"/>
      </rPr>
      <t xml:space="preserve"> Demographic Quick Facts</t>
    </r>
  </si>
  <si>
    <t>2025 Est. Population by Single-Classification Race</t>
  </si>
  <si>
    <t>2025 Est. Population by Ethnicity</t>
  </si>
  <si>
    <t>2025 Occupied Housing Units by Tenure</t>
  </si>
  <si>
    <t>2025 Households by Household Income</t>
  </si>
  <si>
    <t>2025 Est. Median HH Income by Single-Classification Race</t>
  </si>
  <si>
    <t>2025 Est. Median HH Income by Ethnicity</t>
  </si>
  <si>
    <r>
      <rPr>
        <sz val="24"/>
        <color rgb="FFF56600"/>
        <rFont val="Arial"/>
      </rPr>
      <t>Pop-Facts® Effective Buying Income |</t>
    </r>
    <r>
      <rPr>
        <sz val="18"/>
        <rFont val="Arial"/>
      </rPr>
      <t xml:space="preserve"> 2025</t>
    </r>
  </si>
  <si>
    <t>2025 Demographic Totals</t>
  </si>
  <si>
    <t>2025 Average Household Size</t>
  </si>
  <si>
    <t>2025 Median Age</t>
  </si>
  <si>
    <t>2025 Median Household Income</t>
  </si>
  <si>
    <t>2025 Median All Owner-Occupied Housing Value</t>
  </si>
  <si>
    <t>2025 Est. Households by Effective Buying Income</t>
  </si>
  <si>
    <t>2025 Effective Buying Income</t>
  </si>
  <si>
    <r>
      <rPr>
        <sz val="24"/>
        <color rgb="FFF56600"/>
        <rFont val="Arial"/>
      </rPr>
      <t>Pop-Facts® Effective Buying Income |</t>
    </r>
    <r>
      <rPr>
        <sz val="18"/>
        <rFont val="Arial"/>
      </rPr>
      <t xml:space="preserve"> 2030</t>
    </r>
  </si>
  <si>
    <t>2030 Demographic Totals</t>
  </si>
  <si>
    <t>2030 Average Household Size</t>
  </si>
  <si>
    <t>2030 Median Age</t>
  </si>
  <si>
    <t>2030 Median Household Income</t>
  </si>
  <si>
    <t>2030 Median All Owner-Occupied Housing Value</t>
  </si>
  <si>
    <t>2030 Proj. Households by Effective Buying Income</t>
  </si>
  <si>
    <t>2030 Households by Effective Buying Income</t>
  </si>
  <si>
    <r>
      <rPr>
        <sz val="24"/>
        <color rgb="FFF56600"/>
        <rFont val="Arial"/>
      </rPr>
      <t>Pop-Facts® Household Income By Age of Householder |</t>
    </r>
    <r>
      <rPr>
        <sz val="18"/>
        <rFont val="Arial"/>
      </rPr>
      <t xml:space="preserve"> Income by Age of Householder</t>
    </r>
  </si>
  <si>
    <t>2025 Household Totals</t>
  </si>
  <si>
    <t>2025 Estimate Income/Age</t>
  </si>
  <si>
    <t>Average HH Income</t>
  </si>
  <si>
    <t>2030 Household Totals</t>
  </si>
  <si>
    <t>2030 Projection Income/Age</t>
  </si>
  <si>
    <t>Trade Area: 1234 Williams Rd - 3 mi.</t>
  </si>
  <si>
    <t>Ocoee, FL</t>
  </si>
  <si>
    <t>Trade Area: 935 Capitol Landing Rd - 1 mi.</t>
  </si>
  <si>
    <t>Trade Area: 935 Capitol Landing Rd - 3 mi.</t>
  </si>
  <si>
    <t>Trade Area: 935 Capitol Landing Rd - 5 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</si>
</sst>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(* #,##0.0_);_(* \(#,##0.0\);_(* &quot;-&quot;??_);_(@_)"/>
    <numFmt numFmtId="168" formatCode="m/d/yy;@"/>
  </numFmts>
  <fonts count="21" x14ac:knownFonts="1">
    <font>
      <sz val="10"/>
      <name val="Verdana"/>
    </font>
    <font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8"/>
      <name val="Arial"/>
    </font>
    <font>
      <sz val="12"/>
      <name val="Arial"/>
    </font>
    <font>
      <sz val="10"/>
      <name val="Arial"/>
    </font>
    <font>
      <b/>
      <sz val="11"/>
      <name val="Arial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rgb="FFFFFFFF"/>
      <name val="Arial"/>
    </font>
    <font>
      <sz val="11"/>
      <color rgb="FF000000"/>
      <name val="Arial"/>
    </font>
    <font>
      <sz val="24"/>
      <color rgb="FFF566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26366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D3D5D6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quotePrefix="1" applyFont="1"/>
    <xf numFmtId="0" fontId="6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165" fontId="2" fillId="2" borderId="6" xfId="2" applyNumberFormat="1" applyFont="1" applyFill="1" applyBorder="1" applyAlignment="1">
      <alignment horizontal="center"/>
    </xf>
    <xf numFmtId="165" fontId="5" fillId="0" borderId="6" xfId="2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/>
    <xf numFmtId="165" fontId="2" fillId="0" borderId="1" xfId="2" applyNumberFormat="1" applyFont="1" applyFill="1" applyBorder="1" applyAlignment="1">
      <alignment horizontal="center"/>
    </xf>
    <xf numFmtId="165" fontId="2" fillId="0" borderId="0" xfId="2" applyNumberFormat="1" applyFont="1" applyFill="1" applyBorder="1"/>
    <xf numFmtId="9" fontId="2" fillId="0" borderId="2" xfId="4" applyFont="1" applyFill="1" applyBorder="1" applyAlignment="1">
      <alignment horizontal="center"/>
    </xf>
    <xf numFmtId="0" fontId="2" fillId="2" borderId="0" xfId="0" quotePrefix="1" applyFont="1" applyFill="1"/>
    <xf numFmtId="164" fontId="2" fillId="2" borderId="6" xfId="1" applyNumberFormat="1" applyFont="1" applyFill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5" fontId="3" fillId="0" borderId="0" xfId="2" applyNumberFormat="1" applyFont="1" applyFill="1" applyBorder="1" applyAlignment="1">
      <alignment horizontal="center"/>
    </xf>
    <xf numFmtId="168" fontId="5" fillId="0" borderId="0" xfId="0" applyNumberFormat="1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center"/>
    </xf>
    <xf numFmtId="9" fontId="7" fillId="0" borderId="2" xfId="4" applyFont="1" applyFill="1" applyBorder="1" applyAlignment="1">
      <alignment horizontal="center"/>
    </xf>
    <xf numFmtId="0" fontId="5" fillId="0" borderId="2" xfId="0" applyFont="1" applyBorder="1"/>
    <xf numFmtId="9" fontId="5" fillId="0" borderId="2" xfId="4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1" xfId="0" applyFont="1" applyBorder="1"/>
    <xf numFmtId="0" fontId="16" fillId="2" borderId="6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4" fillId="0" borderId="1" xfId="0" applyFont="1" applyBorder="1"/>
    <xf numFmtId="0" fontId="14" fillId="0" borderId="9" xfId="0" applyFont="1" applyBorder="1"/>
    <xf numFmtId="0" fontId="15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65" fontId="16" fillId="0" borderId="1" xfId="2" applyNumberFormat="1" applyFont="1" applyFill="1" applyBorder="1" applyAlignment="1">
      <alignment horizontal="center"/>
    </xf>
    <xf numFmtId="165" fontId="16" fillId="0" borderId="0" xfId="2" applyNumberFormat="1" applyFont="1" applyFill="1" applyBorder="1"/>
    <xf numFmtId="9" fontId="16" fillId="0" borderId="0" xfId="4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5" xfId="0" applyFont="1" applyBorder="1"/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9" fontId="16" fillId="0" borderId="2" xfId="4" applyFont="1" applyFill="1" applyBorder="1" applyAlignment="1">
      <alignment horizontal="center"/>
    </xf>
    <xf numFmtId="0" fontId="15" fillId="0" borderId="8" xfId="0" applyFont="1" applyBorder="1"/>
    <xf numFmtId="3" fontId="2" fillId="0" borderId="4" xfId="0" applyNumberFormat="1" applyFont="1" applyBorder="1" applyAlignment="1">
      <alignment horizontal="center"/>
    </xf>
    <xf numFmtId="3" fontId="16" fillId="0" borderId="13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9" fontId="2" fillId="0" borderId="0" xfId="4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64" fontId="2" fillId="2" borderId="14" xfId="1" applyNumberFormat="1" applyFont="1" applyFill="1" applyBorder="1" applyAlignment="1">
      <alignment horizontal="center"/>
    </xf>
    <xf numFmtId="9" fontId="5" fillId="0" borderId="2" xfId="4" applyFont="1" applyBorder="1"/>
    <xf numFmtId="164" fontId="3" fillId="0" borderId="14" xfId="1" applyNumberFormat="1" applyFont="1" applyBorder="1" applyAlignment="1">
      <alignment horizontal="center"/>
    </xf>
    <xf numFmtId="164" fontId="3" fillId="0" borderId="2" xfId="1" applyNumberFormat="1" applyFont="1" applyBorder="1"/>
    <xf numFmtId="165" fontId="5" fillId="0" borderId="14" xfId="2" applyNumberFormat="1" applyFont="1" applyBorder="1" applyAlignment="1">
      <alignment horizontal="center"/>
    </xf>
    <xf numFmtId="165" fontId="2" fillId="2" borderId="14" xfId="2" applyNumberFormat="1" applyFont="1" applyFill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165" fontId="2" fillId="0" borderId="2" xfId="2" applyNumberFormat="1" applyFont="1" applyFill="1" applyBorder="1" applyAlignment="1">
      <alignment horizontal="center"/>
    </xf>
    <xf numFmtId="167" fontId="2" fillId="0" borderId="14" xfId="1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9" fontId="5" fillId="0" borderId="16" xfId="4" applyFont="1" applyBorder="1"/>
    <xf numFmtId="164" fontId="3" fillId="0" borderId="16" xfId="1" applyNumberFormat="1" applyFont="1" applyBorder="1"/>
    <xf numFmtId="165" fontId="3" fillId="0" borderId="16" xfId="2" applyNumberFormat="1" applyFont="1" applyBorder="1" applyAlignment="1">
      <alignment horizontal="center"/>
    </xf>
    <xf numFmtId="165" fontId="2" fillId="0" borderId="16" xfId="2" applyNumberFormat="1" applyFont="1" applyFill="1" applyBorder="1" applyAlignment="1">
      <alignment horizontal="center"/>
    </xf>
    <xf numFmtId="167" fontId="2" fillId="0" borderId="6" xfId="1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3" fillId="0" borderId="19" xfId="0" applyFont="1" applyBorder="1"/>
    <xf numFmtId="164" fontId="2" fillId="2" borderId="20" xfId="1" applyNumberFormat="1" applyFont="1" applyFill="1" applyBorder="1" applyAlignment="1">
      <alignment horizontal="center"/>
    </xf>
    <xf numFmtId="9" fontId="5" fillId="0" borderId="19" xfId="4" applyFont="1" applyBorder="1"/>
    <xf numFmtId="164" fontId="3" fillId="0" borderId="20" xfId="1" applyNumberFormat="1" applyFont="1" applyBorder="1" applyAlignment="1">
      <alignment horizontal="center"/>
    </xf>
    <xf numFmtId="164" fontId="3" fillId="0" borderId="19" xfId="1" applyNumberFormat="1" applyFont="1" applyBorder="1"/>
    <xf numFmtId="165" fontId="5" fillId="0" borderId="20" xfId="2" applyNumberFormat="1" applyFont="1" applyBorder="1" applyAlignment="1">
      <alignment horizontal="center"/>
    </xf>
    <xf numFmtId="165" fontId="2" fillId="2" borderId="20" xfId="2" applyNumberFormat="1" applyFont="1" applyFill="1" applyBorder="1" applyAlignment="1">
      <alignment horizontal="center"/>
    </xf>
    <xf numFmtId="165" fontId="3" fillId="0" borderId="19" xfId="2" applyNumberFormat="1" applyFont="1" applyBorder="1" applyAlignment="1">
      <alignment horizontal="center"/>
    </xf>
    <xf numFmtId="165" fontId="2" fillId="0" borderId="19" xfId="2" applyNumberFormat="1" applyFont="1" applyFill="1" applyBorder="1" applyAlignment="1">
      <alignment horizontal="center"/>
    </xf>
    <xf numFmtId="167" fontId="2" fillId="0" borderId="20" xfId="1" applyNumberFormat="1" applyFont="1" applyFill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164" fontId="16" fillId="2" borderId="6" xfId="1" applyNumberFormat="1" applyFont="1" applyFill="1" applyBorder="1" applyAlignment="1">
      <alignment horizontal="center"/>
    </xf>
    <xf numFmtId="164" fontId="16" fillId="2" borderId="11" xfId="1" applyNumberFormat="1" applyFont="1" applyFill="1" applyBorder="1" applyAlignment="1">
      <alignment horizontal="center"/>
    </xf>
    <xf numFmtId="9" fontId="17" fillId="2" borderId="12" xfId="4" applyFont="1" applyFill="1" applyBorder="1" applyAlignment="1">
      <alignment horizontal="center"/>
    </xf>
    <xf numFmtId="9" fontId="14" fillId="0" borderId="0" xfId="4" applyFont="1"/>
    <xf numFmtId="0" fontId="14" fillId="0" borderId="2" xfId="0" applyFont="1" applyBorder="1"/>
    <xf numFmtId="9" fontId="14" fillId="0" borderId="1" xfId="4" applyFont="1" applyBorder="1"/>
    <xf numFmtId="9" fontId="14" fillId="0" borderId="0" xfId="4" applyFont="1" applyBorder="1"/>
    <xf numFmtId="164" fontId="15" fillId="0" borderId="22" xfId="1" applyNumberFormat="1" applyFont="1" applyBorder="1" applyAlignment="1">
      <alignment horizontal="center"/>
    </xf>
    <xf numFmtId="164" fontId="15" fillId="0" borderId="11" xfId="1" applyNumberFormat="1" applyFont="1" applyBorder="1" applyAlignment="1">
      <alignment horizontal="center"/>
    </xf>
    <xf numFmtId="9" fontId="14" fillId="0" borderId="12" xfId="4" applyFont="1" applyBorder="1" applyAlignment="1">
      <alignment horizontal="center"/>
    </xf>
    <xf numFmtId="164" fontId="15" fillId="0" borderId="6" xfId="1" applyNumberFormat="1" applyFont="1" applyBorder="1" applyAlignment="1">
      <alignment horizontal="center"/>
    </xf>
    <xf numFmtId="0" fontId="14" fillId="0" borderId="10" xfId="0" applyFont="1" applyBorder="1"/>
    <xf numFmtId="164" fontId="15" fillId="0" borderId="1" xfId="1" applyNumberFormat="1" applyFont="1" applyBorder="1"/>
    <xf numFmtId="164" fontId="15" fillId="0" borderId="0" xfId="1" applyNumberFormat="1" applyFont="1" applyBorder="1"/>
    <xf numFmtId="165" fontId="14" fillId="0" borderId="22" xfId="2" applyNumberFormat="1" applyFont="1" applyBorder="1" applyAlignment="1">
      <alignment horizontal="center"/>
    </xf>
    <xf numFmtId="165" fontId="14" fillId="0" borderId="11" xfId="2" applyNumberFormat="1" applyFont="1" applyBorder="1" applyAlignment="1">
      <alignment horizontal="center"/>
    </xf>
    <xf numFmtId="165" fontId="16" fillId="2" borderId="22" xfId="2" applyNumberFormat="1" applyFont="1" applyFill="1" applyBorder="1" applyAlignment="1">
      <alignment horizontal="center"/>
    </xf>
    <xf numFmtId="9" fontId="16" fillId="2" borderId="12" xfId="4" applyFont="1" applyFill="1" applyBorder="1" applyAlignment="1">
      <alignment horizontal="center"/>
    </xf>
    <xf numFmtId="165" fontId="16" fillId="2" borderId="11" xfId="2" applyNumberFormat="1" applyFont="1" applyFill="1" applyBorder="1" applyAlignment="1">
      <alignment horizontal="center"/>
    </xf>
    <xf numFmtId="165" fontId="14" fillId="0" borderId="6" xfId="2" applyNumberFormat="1" applyFont="1" applyBorder="1" applyAlignment="1">
      <alignment horizontal="center"/>
    </xf>
    <xf numFmtId="165" fontId="14" fillId="0" borderId="11" xfId="2" applyNumberFormat="1" applyFont="1" applyBorder="1"/>
    <xf numFmtId="165" fontId="15" fillId="0" borderId="1" xfId="2" applyNumberFormat="1" applyFont="1" applyBorder="1" applyAlignment="1">
      <alignment horizontal="center"/>
    </xf>
    <xf numFmtId="165" fontId="15" fillId="0" borderId="0" xfId="2" applyNumberFormat="1" applyFont="1" applyBorder="1" applyAlignment="1">
      <alignment horizontal="center"/>
    </xf>
    <xf numFmtId="165" fontId="15" fillId="0" borderId="14" xfId="2" applyNumberFormat="1" applyFont="1" applyBorder="1" applyAlignment="1">
      <alignment horizontal="center"/>
    </xf>
    <xf numFmtId="165" fontId="15" fillId="0" borderId="2" xfId="2" applyNumberFormat="1" applyFont="1" applyBorder="1" applyAlignment="1">
      <alignment horizontal="center"/>
    </xf>
    <xf numFmtId="165" fontId="16" fillId="2" borderId="6" xfId="2" applyNumberFormat="1" applyFont="1" applyFill="1" applyBorder="1" applyAlignment="1">
      <alignment horizontal="center"/>
    </xf>
    <xf numFmtId="165" fontId="16" fillId="2" borderId="11" xfId="2" applyNumberFormat="1" applyFont="1" applyFill="1" applyBorder="1"/>
    <xf numFmtId="166" fontId="16" fillId="2" borderId="12" xfId="4" applyNumberFormat="1" applyFont="1" applyFill="1" applyBorder="1" applyAlignment="1">
      <alignment horizontal="center"/>
    </xf>
    <xf numFmtId="167" fontId="16" fillId="0" borderId="6" xfId="1" applyNumberFormat="1" applyFont="1" applyFill="1" applyBorder="1" applyAlignment="1">
      <alignment horizontal="center"/>
    </xf>
    <xf numFmtId="167" fontId="16" fillId="0" borderId="11" xfId="1" applyNumberFormat="1" applyFont="1" applyFill="1" applyBorder="1"/>
    <xf numFmtId="9" fontId="16" fillId="0" borderId="12" xfId="4" applyFont="1" applyFill="1" applyBorder="1" applyAlignment="1">
      <alignment horizontal="center"/>
    </xf>
    <xf numFmtId="0" fontId="10" fillId="0" borderId="0" xfId="0" applyFont="1"/>
    <xf numFmtId="165" fontId="14" fillId="0" borderId="6" xfId="2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0" borderId="23" xfId="0" applyFont="1" applyBorder="1"/>
    <xf numFmtId="0" fontId="2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164" fontId="2" fillId="2" borderId="26" xfId="1" applyNumberFormat="1" applyFont="1" applyFill="1" applyBorder="1" applyAlignment="1">
      <alignment horizontal="center"/>
    </xf>
    <xf numFmtId="9" fontId="5" fillId="0" borderId="25" xfId="4" applyFont="1" applyBorder="1"/>
    <xf numFmtId="164" fontId="3" fillId="0" borderId="26" xfId="1" applyNumberFormat="1" applyFont="1" applyBorder="1" applyAlignment="1">
      <alignment horizontal="center"/>
    </xf>
    <xf numFmtId="164" fontId="3" fillId="0" borderId="25" xfId="1" applyNumberFormat="1" applyFont="1" applyBorder="1"/>
    <xf numFmtId="165" fontId="5" fillId="0" borderId="26" xfId="2" applyNumberFormat="1" applyFont="1" applyBorder="1" applyAlignment="1">
      <alignment horizontal="center"/>
    </xf>
    <xf numFmtId="165" fontId="2" fillId="2" borderId="26" xfId="2" applyNumberFormat="1" applyFont="1" applyFill="1" applyBorder="1" applyAlignment="1">
      <alignment horizontal="center"/>
    </xf>
    <xf numFmtId="165" fontId="3" fillId="0" borderId="25" xfId="2" applyNumberFormat="1" applyFont="1" applyBorder="1" applyAlignment="1">
      <alignment horizontal="center"/>
    </xf>
    <xf numFmtId="165" fontId="2" fillId="0" borderId="25" xfId="2" applyNumberFormat="1" applyFont="1" applyFill="1" applyBorder="1" applyAlignment="1">
      <alignment horizontal="center"/>
    </xf>
    <xf numFmtId="167" fontId="2" fillId="0" borderId="26" xfId="1" applyNumberFormat="1" applyFont="1" applyFill="1" applyBorder="1" applyAlignment="1">
      <alignment horizontal="center"/>
    </xf>
    <xf numFmtId="0" fontId="2" fillId="0" borderId="2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2" borderId="0" xfId="1" applyNumberFormat="1" applyFont="1" applyFill="1" applyBorder="1" applyAlignment="1">
      <alignment horizontal="center"/>
    </xf>
    <xf numFmtId="9" fontId="5" fillId="0" borderId="0" xfId="4" applyFont="1" applyBorder="1"/>
    <xf numFmtId="164" fontId="3" fillId="0" borderId="0" xfId="1" applyNumberFormat="1" applyFont="1" applyBorder="1" applyAlignment="1">
      <alignment horizontal="center"/>
    </xf>
    <xf numFmtId="164" fontId="3" fillId="0" borderId="0" xfId="1" applyNumberFormat="1" applyFont="1" applyBorder="1"/>
    <xf numFmtId="165" fontId="5" fillId="0" borderId="0" xfId="2" applyNumberFormat="1" applyFont="1" applyBorder="1" applyAlignment="1">
      <alignment horizontal="center"/>
    </xf>
    <xf numFmtId="165" fontId="2" fillId="2" borderId="0" xfId="2" applyNumberFormat="1" applyFont="1" applyFill="1" applyBorder="1" applyAlignment="1">
      <alignment horizontal="center"/>
    </xf>
    <xf numFmtId="165" fontId="3" fillId="0" borderId="0" xfId="2" applyNumberFormat="1" applyFont="1" applyBorder="1" applyAlignment="1">
      <alignment horizontal="center"/>
    </xf>
    <xf numFmtId="165" fontId="2" fillId="0" borderId="0" xfId="2" applyNumberFormat="1" applyFont="1" applyFill="1" applyBorder="1" applyAlignment="1">
      <alignment horizontal="center"/>
    </xf>
    <xf numFmtId="167" fontId="2" fillId="0" borderId="0" xfId="1" applyNumberFormat="1" applyFont="1" applyFill="1" applyBorder="1" applyAlignment="1">
      <alignment horizontal="center"/>
    </xf>
    <xf numFmtId="0" fontId="2" fillId="0" borderId="0" xfId="0" quotePrefix="1" applyFont="1"/>
    <xf numFmtId="0" fontId="16" fillId="0" borderId="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4" fontId="16" fillId="0" borderId="6" xfId="1" applyNumberFormat="1" applyFont="1" applyFill="1" applyBorder="1" applyAlignment="1">
      <alignment horizontal="center"/>
    </xf>
    <xf numFmtId="164" fontId="16" fillId="0" borderId="11" xfId="1" applyNumberFormat="1" applyFont="1" applyFill="1" applyBorder="1" applyAlignment="1">
      <alignment horizontal="center"/>
    </xf>
    <xf numFmtId="9" fontId="17" fillId="0" borderId="12" xfId="4" applyFont="1" applyFill="1" applyBorder="1" applyAlignment="1">
      <alignment horizontal="center"/>
    </xf>
    <xf numFmtId="164" fontId="2" fillId="0" borderId="26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6" xfId="1" applyNumberFormat="1" applyFont="1" applyFill="1" applyBorder="1" applyAlignment="1">
      <alignment horizontal="center"/>
    </xf>
    <xf numFmtId="164" fontId="2" fillId="0" borderId="20" xfId="1" applyNumberFormat="1" applyFont="1" applyFill="1" applyBorder="1" applyAlignment="1">
      <alignment horizontal="center"/>
    </xf>
    <xf numFmtId="164" fontId="2" fillId="0" borderId="14" xfId="1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18" fillId="3" borderId="0" xfId="0" applyFont="1" applyFill="1" applyAlignment="1">
      <alignment horizontal="left"/>
    </xf>
    <xf numFmtId="0" fontId="18" fillId="3" borderId="0" xfId="0" applyFont="1" applyFill="1" applyAlignment="1">
      <alignment horizontal="right"/>
    </xf>
    <xf numFmtId="0" fontId="19" fillId="4" borderId="0" xfId="0" applyFont="1" applyFill="1" applyAlignment="1">
      <alignment horizontal="left" vertical="center"/>
    </xf>
    <xf numFmtId="3" fontId="19" fillId="4" borderId="0" xfId="0" applyNumberFormat="1" applyFont="1" applyFill="1" applyAlignment="1">
      <alignment horizontal="right" vertical="center"/>
    </xf>
    <xf numFmtId="4" fontId="19" fillId="4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5" fontId="8" fillId="0" borderId="32" xfId="2" applyNumberFormat="1" applyFont="1" applyFill="1" applyBorder="1" applyAlignment="1">
      <alignment horizontal="right" wrapText="1"/>
    </xf>
    <xf numFmtId="0" fontId="0" fillId="0" borderId="33" xfId="0" applyBorder="1" applyAlignment="1">
      <alignment wrapText="1"/>
    </xf>
    <xf numFmtId="0" fontId="3" fillId="0" borderId="23" xfId="0" applyFont="1" applyBorder="1" applyAlignment="1">
      <alignment horizontal="center"/>
    </xf>
    <xf numFmtId="0" fontId="12" fillId="5" borderId="0" xfId="0" applyFont="1" applyFill="1"/>
    <xf numFmtId="0" fontId="0" fillId="0" borderId="0" xfId="0"/>
    <xf numFmtId="0" fontId="18" fillId="3" borderId="0" xfId="0" applyFont="1" applyFill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3" xr:uid="{562C72BE-E375-46A1-8B79-8DC2CFFB9FAC}"/>
    <cellStyle name="Percent" xfId="4" builtinId="5"/>
    <cellStyle name="Pivot Style Medium 13" xfId="5" xr:uid="{13D2B5E6-62EF-4FAC-83E3-97179F21028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B8F6-BC63-4CFD-A725-D0FEED4890A7}">
  <sheetPr>
    <pageSetUpPr fitToPage="1"/>
  </sheetPr>
  <dimension ref="A1:S51"/>
  <sheetViews>
    <sheetView tabSelected="1" zoomScale="80" zoomScaleNormal="80" workbookViewId="0"/>
  </sheetViews>
  <sheetFormatPr defaultRowHeight="12.75" x14ac:dyDescent="0.2"/>
  <cols>
    <col min="1" max="3" width="9" style="1"/>
    <col min="4" max="12" width="10.625" style="1" customWidth="1"/>
    <col min="13" max="13" width="3.5" style="1" customWidth="1"/>
    <col min="14" max="14" width="12.125" style="1" customWidth="1"/>
    <col min="15" max="15" width="2.25" style="1" customWidth="1"/>
    <col min="16" max="16" width="9" style="1" customWidth="1"/>
    <col min="17" max="18" width="9" style="1"/>
    <col min="19" max="19" width="0" style="1" hidden="1" customWidth="1"/>
    <col min="20" max="16384" width="9" style="1"/>
  </cols>
  <sheetData>
    <row r="1" spans="1:19" ht="15.75" x14ac:dyDescent="0.25">
      <c r="A1" s="18" t="s">
        <v>158</v>
      </c>
      <c r="D1" s="2" t="s">
        <v>3</v>
      </c>
    </row>
    <row r="3" spans="1:19" ht="13.5" thickBot="1" x14ac:dyDescent="0.25">
      <c r="A3" s="3" t="s">
        <v>107</v>
      </c>
      <c r="B3" s="3"/>
      <c r="C3" s="26"/>
      <c r="P3" s="182" t="s">
        <v>122</v>
      </c>
      <c r="Q3" s="182"/>
      <c r="R3" s="182"/>
    </row>
    <row r="4" spans="1:19" ht="13.5" thickBot="1" x14ac:dyDescent="0.25">
      <c r="N4" s="133"/>
      <c r="O4" s="88"/>
      <c r="P4" s="177" t="s">
        <v>112</v>
      </c>
      <c r="Q4" s="178"/>
      <c r="R4" s="179"/>
      <c r="S4" s="170" t="s">
        <v>118</v>
      </c>
    </row>
    <row r="5" spans="1:19" x14ac:dyDescent="0.2">
      <c r="D5" s="8"/>
      <c r="E5" s="61" t="s">
        <v>0</v>
      </c>
      <c r="F5" s="9"/>
      <c r="G5" s="8"/>
      <c r="H5" s="61" t="s">
        <v>113</v>
      </c>
      <c r="I5" s="10"/>
      <c r="J5" s="55"/>
      <c r="K5" s="61" t="s">
        <v>1</v>
      </c>
      <c r="L5" s="56"/>
      <c r="M5" s="7"/>
      <c r="N5" s="134" t="str">
        <f>+A1</f>
        <v>Ocoee, FL</v>
      </c>
      <c r="O5" s="147"/>
      <c r="P5" s="77" t="s">
        <v>68</v>
      </c>
      <c r="Q5" s="86" t="s">
        <v>69</v>
      </c>
      <c r="R5" s="65" t="s">
        <v>70</v>
      </c>
      <c r="S5" s="169" t="s">
        <v>119</v>
      </c>
    </row>
    <row r="6" spans="1:19" x14ac:dyDescent="0.2">
      <c r="D6" s="38">
        <v>2025</v>
      </c>
      <c r="E6" s="39">
        <f>+D6+5</f>
        <v>2030</v>
      </c>
      <c r="F6" s="40" t="s">
        <v>17</v>
      </c>
      <c r="G6" s="11">
        <f>+D6</f>
        <v>2025</v>
      </c>
      <c r="H6" s="12">
        <f>+E6</f>
        <v>2030</v>
      </c>
      <c r="I6" s="27" t="s">
        <v>17</v>
      </c>
      <c r="J6" s="38">
        <f>+D6</f>
        <v>2025</v>
      </c>
      <c r="K6" s="39">
        <f>+E6</f>
        <v>2030</v>
      </c>
      <c r="L6" s="57" t="s">
        <v>17</v>
      </c>
      <c r="M6" s="30"/>
      <c r="N6" s="135">
        <f>+D6</f>
        <v>2025</v>
      </c>
      <c r="O6" s="12"/>
      <c r="P6" s="78"/>
      <c r="Q6" s="87"/>
      <c r="R6" s="66"/>
      <c r="S6" s="66"/>
    </row>
    <row r="7" spans="1:19" x14ac:dyDescent="0.2">
      <c r="A7" s="5" t="s">
        <v>4</v>
      </c>
      <c r="D7" s="41"/>
      <c r="E7" s="36"/>
      <c r="F7" s="36"/>
      <c r="G7" s="6"/>
      <c r="I7" s="7"/>
      <c r="J7" s="41"/>
      <c r="K7" s="36"/>
      <c r="L7" s="58"/>
      <c r="M7" s="7"/>
      <c r="N7" s="136"/>
      <c r="P7" s="79"/>
      <c r="Q7" s="88"/>
      <c r="R7" s="7"/>
      <c r="S7" s="7"/>
    </row>
    <row r="8" spans="1:19" x14ac:dyDescent="0.2">
      <c r="A8" s="13" t="s">
        <v>6</v>
      </c>
      <c r="B8" s="22" t="s">
        <v>18</v>
      </c>
      <c r="C8" s="13"/>
      <c r="D8" s="42"/>
      <c r="E8" s="43" t="s">
        <v>2</v>
      </c>
      <c r="F8" s="44"/>
      <c r="G8" s="99">
        <f>+G12+G16</f>
        <v>1733</v>
      </c>
      <c r="H8" s="100">
        <f>+H12+H16</f>
        <v>1915</v>
      </c>
      <c r="I8" s="101">
        <f>+(H8-G8)/G8</f>
        <v>0.10502019619157531</v>
      </c>
      <c r="J8" s="99">
        <f>+J12+J16</f>
        <v>4871</v>
      </c>
      <c r="K8" s="100">
        <f>+K12+K16</f>
        <v>5239</v>
      </c>
      <c r="L8" s="101">
        <f>+(K8-J8)/J8</f>
        <v>7.5549168548552662E-2</v>
      </c>
      <c r="M8" s="31"/>
      <c r="N8" s="137">
        <f>+J8</f>
        <v>4871</v>
      </c>
      <c r="O8" s="148"/>
      <c r="P8" s="23">
        <v>17771.099999999999</v>
      </c>
      <c r="Q8" s="89">
        <v>32036</v>
      </c>
      <c r="R8" s="67">
        <v>5494</v>
      </c>
      <c r="S8" s="67" t="s">
        <v>2</v>
      </c>
    </row>
    <row r="9" spans="1:19" x14ac:dyDescent="0.2">
      <c r="B9" s="3" t="s">
        <v>67</v>
      </c>
      <c r="C9" s="3"/>
      <c r="D9" s="45"/>
      <c r="E9" s="37"/>
      <c r="F9" s="46"/>
      <c r="G9" s="102">
        <f>+G8/'3 mile 2025'!B7</f>
        <v>0.1747504285570233</v>
      </c>
      <c r="H9" s="102">
        <f>+H8/'3 mile 2030'!B7</f>
        <v>0.13917151162790697</v>
      </c>
      <c r="I9" s="103"/>
      <c r="J9" s="102">
        <f>+J8/'5 mile 2025'!B7</f>
        <v>0.18779397023671832</v>
      </c>
      <c r="K9" s="102">
        <f>+K8/'5 mile 2030'!B7</f>
        <v>0.19396519807478713</v>
      </c>
      <c r="L9" s="103"/>
      <c r="M9" s="32"/>
      <c r="N9" s="138">
        <f>+J9</f>
        <v>0.18779397023671832</v>
      </c>
      <c r="O9" s="149"/>
      <c r="P9" s="80">
        <v>0.26963563658649409</v>
      </c>
      <c r="Q9" s="90">
        <v>0.37247457627118646</v>
      </c>
      <c r="R9" s="68">
        <v>0.15178222228216159</v>
      </c>
      <c r="S9" s="68">
        <v>0.13880000000000001</v>
      </c>
    </row>
    <row r="10" spans="1:19" x14ac:dyDescent="0.2">
      <c r="B10" s="3" t="s">
        <v>5</v>
      </c>
      <c r="C10" s="3"/>
      <c r="D10" s="45"/>
      <c r="E10" s="37"/>
      <c r="F10" s="37"/>
      <c r="G10" s="104">
        <f>+G8/('3 mile age of HHer'!H7+'3 mile age of HHer'!J7)</f>
        <v>0.59635237439779765</v>
      </c>
      <c r="H10" s="105">
        <f>+H8/('3 mile age of HHer'!H22+'3 mile age of HHer'!J22)</f>
        <v>0.66080055210489996</v>
      </c>
      <c r="I10" s="103"/>
      <c r="J10" s="102">
        <f>+J8/('5 mile age of HHer'!H7+'5 mile age of HHer'!J7)</f>
        <v>0.6342447916666667</v>
      </c>
      <c r="K10" s="105">
        <f>+K8/('5 mile age of HHer'!H22+'5 mile age of HHer'!J22)</f>
        <v>0.68753280839895015</v>
      </c>
      <c r="L10" s="103"/>
      <c r="M10" s="32"/>
      <c r="N10" s="138">
        <f>+J10</f>
        <v>0.6342447916666667</v>
      </c>
      <c r="O10" s="149"/>
      <c r="P10" s="80">
        <v>0.67722554433188575</v>
      </c>
      <c r="Q10" s="90">
        <v>0.82048984468339303</v>
      </c>
      <c r="R10" s="68">
        <v>0.39220435259883951</v>
      </c>
      <c r="S10" s="68">
        <v>0.36609999999999998</v>
      </c>
    </row>
    <row r="11" spans="1:19" x14ac:dyDescent="0.2">
      <c r="D11" s="41"/>
      <c r="E11" s="36"/>
      <c r="F11" s="36"/>
      <c r="G11" s="41"/>
      <c r="H11" s="36"/>
      <c r="I11" s="58"/>
      <c r="J11" s="41"/>
      <c r="K11" s="36"/>
      <c r="L11" s="58"/>
      <c r="M11" s="7"/>
      <c r="N11" s="136"/>
      <c r="P11" s="79"/>
      <c r="Q11" s="88"/>
      <c r="R11" s="7"/>
      <c r="S11" s="7"/>
    </row>
    <row r="12" spans="1:19" x14ac:dyDescent="0.2">
      <c r="A12" s="1" t="s">
        <v>6</v>
      </c>
      <c r="B12" s="4" t="s">
        <v>20</v>
      </c>
      <c r="D12" s="47"/>
      <c r="E12" s="48" t="s">
        <v>2</v>
      </c>
      <c r="F12" s="49"/>
      <c r="G12" s="106">
        <f>SUM('3 mile age of HHer'!H15:H18)</f>
        <v>859</v>
      </c>
      <c r="H12" s="107">
        <f>SUM('3 mile age of HHer'!H30:H33)</f>
        <v>1029</v>
      </c>
      <c r="I12" s="108">
        <f>+(H12-G12)/G12</f>
        <v>0.1979045401629802</v>
      </c>
      <c r="J12" s="109">
        <f>SUM('5 mile age of HHer'!H15:H18)</f>
        <v>2353</v>
      </c>
      <c r="K12" s="107">
        <f>SUM('5 mile age of HHer'!H30:H33)</f>
        <v>2769</v>
      </c>
      <c r="L12" s="108">
        <f>+(K12-J12)/J12</f>
        <v>0.17679558011049723</v>
      </c>
      <c r="M12" s="33"/>
      <c r="N12" s="139">
        <f>+J12</f>
        <v>2353</v>
      </c>
      <c r="O12" s="150"/>
      <c r="P12" s="24">
        <v>8802.9500000000007</v>
      </c>
      <c r="Q12" s="91">
        <v>17664</v>
      </c>
      <c r="R12" s="69">
        <v>2466</v>
      </c>
      <c r="S12" s="69" t="s">
        <v>2</v>
      </c>
    </row>
    <row r="13" spans="1:19" x14ac:dyDescent="0.2">
      <c r="B13" s="3" t="s">
        <v>67</v>
      </c>
      <c r="C13" s="3"/>
      <c r="D13" s="45"/>
      <c r="E13" s="37"/>
      <c r="F13" s="46"/>
      <c r="G13" s="102">
        <f>+G12/'3 mile 2025'!B7</f>
        <v>8.6618937178582239E-2</v>
      </c>
      <c r="H13" s="102">
        <f>+H12/'3 mile 2030'!B7</f>
        <v>7.4781976744186046E-2</v>
      </c>
      <c r="I13" s="46"/>
      <c r="J13" s="102">
        <f>+J12/'5 mile 2025'!B7</f>
        <v>9.0716323540751015E-2</v>
      </c>
      <c r="K13" s="102">
        <f>+K12/'5 mile 2030'!B7</f>
        <v>0.10251758607922991</v>
      </c>
      <c r="L13" s="46"/>
      <c r="M13" s="32"/>
      <c r="N13" s="138">
        <f>+J13</f>
        <v>9.0716323540751015E-2</v>
      </c>
      <c r="O13" s="149"/>
      <c r="P13" s="80">
        <v>0.13007180311151006</v>
      </c>
      <c r="Q13" s="90">
        <v>0.16718644067796609</v>
      </c>
      <c r="R13" s="68">
        <v>8.06349377604553E-2</v>
      </c>
      <c r="S13" s="68">
        <v>7.1999999999999995E-2</v>
      </c>
    </row>
    <row r="14" spans="1:19" x14ac:dyDescent="0.2">
      <c r="B14" s="3" t="s">
        <v>5</v>
      </c>
      <c r="C14" s="3"/>
      <c r="D14" s="45"/>
      <c r="E14" s="37"/>
      <c r="F14" s="37"/>
      <c r="G14" s="104">
        <f>+G12/('3 mile age of HHer'!H7+'3 mile age of HHer'!J7)</f>
        <v>0.29559532002752925</v>
      </c>
      <c r="H14" s="105">
        <f>+H12/('3 mile age of HHer'!H22+'3 mile age of HHer'!J22)</f>
        <v>0.35507246376811596</v>
      </c>
      <c r="I14" s="37"/>
      <c r="J14" s="104">
        <f>+J12/('5 mile age of HHer'!H7+'5 mile age of HHer'!J7)</f>
        <v>0.30638020833333335</v>
      </c>
      <c r="K14" s="105">
        <f>+K12/('5 mile age of HHer'!H22+'5 mile age of HHer'!J22)</f>
        <v>0.36338582677165354</v>
      </c>
      <c r="L14" s="103"/>
      <c r="M14" s="3"/>
      <c r="N14" s="138">
        <f>+J14</f>
        <v>0.30638020833333335</v>
      </c>
      <c r="O14" s="149"/>
      <c r="P14" s="80">
        <v>0.32730534801237166</v>
      </c>
      <c r="Q14" s="90">
        <v>0.38509377601488665</v>
      </c>
      <c r="R14" s="68">
        <v>0.20836019584952345</v>
      </c>
      <c r="S14" s="68">
        <v>0.39140000000000003</v>
      </c>
    </row>
    <row r="15" spans="1:19" x14ac:dyDescent="0.2">
      <c r="D15" s="41"/>
      <c r="E15" s="36"/>
      <c r="F15" s="36"/>
      <c r="G15" s="41"/>
      <c r="H15" s="36"/>
      <c r="I15" s="36"/>
      <c r="J15" s="41"/>
      <c r="K15" s="36"/>
      <c r="L15" s="103"/>
      <c r="M15" s="3"/>
      <c r="N15" s="136"/>
      <c r="P15" s="79"/>
      <c r="Q15" s="88"/>
      <c r="R15" s="7"/>
      <c r="S15" s="7"/>
    </row>
    <row r="16" spans="1:19" x14ac:dyDescent="0.2">
      <c r="A16" s="1" t="s">
        <v>6</v>
      </c>
      <c r="B16" s="4" t="s">
        <v>21</v>
      </c>
      <c r="D16" s="47"/>
      <c r="E16" s="48" t="s">
        <v>2</v>
      </c>
      <c r="F16" s="49"/>
      <c r="G16" s="109">
        <f>SUM('3 mile age of HHer'!J15:J18)</f>
        <v>874</v>
      </c>
      <c r="H16" s="107">
        <f>SUM('3 mile age of HHer'!J30:J33)</f>
        <v>886</v>
      </c>
      <c r="I16" s="108">
        <f>+(H16-G16)/G16</f>
        <v>1.3729977116704805E-2</v>
      </c>
      <c r="J16" s="109">
        <f>SUM('5 mile age of HHer'!J15:J18)</f>
        <v>2518</v>
      </c>
      <c r="K16" s="107">
        <f>SUM('5 mile age of HHer'!J30:J33)</f>
        <v>2470</v>
      </c>
      <c r="L16" s="108">
        <f>+(K16-J16)/J16</f>
        <v>-1.9062748212867357E-2</v>
      </c>
      <c r="M16" s="33"/>
      <c r="N16" s="139">
        <f>+J16</f>
        <v>2518</v>
      </c>
      <c r="O16" s="150"/>
      <c r="P16" s="24">
        <v>8968.15</v>
      </c>
      <c r="Q16" s="91">
        <v>16436</v>
      </c>
      <c r="R16" s="69">
        <v>3028</v>
      </c>
      <c r="S16" s="69" t="s">
        <v>2</v>
      </c>
    </row>
    <row r="17" spans="1:19" x14ac:dyDescent="0.2">
      <c r="B17" s="3" t="s">
        <v>67</v>
      </c>
      <c r="C17" s="3"/>
      <c r="D17" s="45"/>
      <c r="E17" s="37"/>
      <c r="F17" s="46"/>
      <c r="G17" s="102">
        <f>+G16/'3 mile 2025'!B7</f>
        <v>8.8131491378441063E-2</v>
      </c>
      <c r="H17" s="102">
        <f>+H16/'3 mile 2030'!B7</f>
        <v>6.4389534883720928E-2</v>
      </c>
      <c r="I17" s="46"/>
      <c r="J17" s="102">
        <f>+J16/'5 mile 2025'!B7</f>
        <v>9.7077646695967301E-2</v>
      </c>
      <c r="K17" s="102">
        <f>+K16/'5 mile 2030'!B7</f>
        <v>9.1447611995557204E-2</v>
      </c>
      <c r="L17" s="46"/>
      <c r="M17" s="32"/>
      <c r="N17" s="138">
        <f>+J17</f>
        <v>9.7077646695967301E-2</v>
      </c>
      <c r="O17" s="149"/>
      <c r="P17" s="80">
        <v>0.13956383347498405</v>
      </c>
      <c r="Q17" s="90">
        <v>0.20528813559322034</v>
      </c>
      <c r="R17" s="68">
        <v>7.1147284521706294E-2</v>
      </c>
      <c r="S17" s="68">
        <v>6.6699999999999995E-2</v>
      </c>
    </row>
    <row r="18" spans="1:19" x14ac:dyDescent="0.2">
      <c r="B18" s="3" t="s">
        <v>5</v>
      </c>
      <c r="C18" s="3"/>
      <c r="D18" s="45"/>
      <c r="E18" s="37"/>
      <c r="F18" s="37"/>
      <c r="G18" s="104">
        <f>+G16/('3 mile age of HHer'!H7+'3 mile age of HHer'!J7)</f>
        <v>0.3007570543702684</v>
      </c>
      <c r="H18" s="105">
        <f>+H16/('3 mile age of HHer'!H22+'3 mile age of HHer'!J22)</f>
        <v>0.305728088336784</v>
      </c>
      <c r="I18" s="103"/>
      <c r="J18" s="104">
        <f>+J16/('5 mile age of HHer'!H7+'5 mile age of HHer'!J7)</f>
        <v>0.32786458333333335</v>
      </c>
      <c r="K18" s="105">
        <f>+K16/('5 mile age of HHer'!H22+'5 mile age of HHer'!J22)</f>
        <v>0.3241469816272966</v>
      </c>
      <c r="L18" s="103"/>
      <c r="M18" s="3"/>
      <c r="N18" s="138">
        <f>+J18</f>
        <v>0.32786458333333335</v>
      </c>
      <c r="O18" s="149"/>
      <c r="P18" s="80">
        <v>0.34992019631951393</v>
      </c>
      <c r="Q18" s="90">
        <v>0.45221027479091996</v>
      </c>
      <c r="R18" s="68">
        <v>0.18384415674931609</v>
      </c>
      <c r="S18" s="68">
        <v>0.34229999999999999</v>
      </c>
    </row>
    <row r="19" spans="1:19" x14ac:dyDescent="0.2">
      <c r="D19" s="41"/>
      <c r="E19" s="36"/>
      <c r="F19" s="36"/>
      <c r="G19" s="41"/>
      <c r="H19" s="36"/>
      <c r="I19" s="110"/>
      <c r="J19" s="41"/>
      <c r="K19" s="36"/>
      <c r="L19" s="103"/>
      <c r="M19" s="3"/>
      <c r="N19" s="136"/>
      <c r="P19" s="79"/>
      <c r="Q19" s="88"/>
      <c r="R19" s="7"/>
      <c r="S19" s="7"/>
    </row>
    <row r="20" spans="1:19" x14ac:dyDescent="0.2">
      <c r="A20" s="1" t="s">
        <v>7</v>
      </c>
      <c r="B20" s="4" t="s">
        <v>18</v>
      </c>
      <c r="D20" s="47"/>
      <c r="E20" s="48" t="s">
        <v>2</v>
      </c>
      <c r="F20" s="49"/>
      <c r="G20" s="109">
        <f>+SUM('3 mile age of HHer'!H14:H18)+SUM('3 mile age of HHer'!J14:J18)</f>
        <v>1983</v>
      </c>
      <c r="H20" s="107">
        <f>+SUM('3 mile age of HHer'!H29:H33)+SUM('3 mile age of HHer'!J29:J33)</f>
        <v>2136</v>
      </c>
      <c r="I20" s="108">
        <f>+(H20-G20)/G20</f>
        <v>7.7155824508320731E-2</v>
      </c>
      <c r="J20" s="109">
        <f>SUM('5 mile age of HHer'!H14:H18)+SUM('5 mile age of HHer'!J14:J18)</f>
        <v>5494</v>
      </c>
      <c r="K20" s="107">
        <f>SUM('5 mile age of HHer'!H29:H33)+SUM('5 mile age of HHer'!J29:J33)</f>
        <v>5826</v>
      </c>
      <c r="L20" s="108">
        <f>+(K20-J20)/J20</f>
        <v>6.042955951947579E-2</v>
      </c>
      <c r="M20" s="33"/>
      <c r="N20" s="139">
        <f>+J20</f>
        <v>5494</v>
      </c>
      <c r="O20" s="150"/>
      <c r="P20" s="24">
        <v>20493.099999999999</v>
      </c>
      <c r="Q20" s="91">
        <v>35797</v>
      </c>
      <c r="R20" s="69">
        <v>5711</v>
      </c>
      <c r="S20" s="69" t="s">
        <v>2</v>
      </c>
    </row>
    <row r="21" spans="1:19" x14ac:dyDescent="0.2">
      <c r="B21" s="3" t="s">
        <v>67</v>
      </c>
      <c r="C21" s="3"/>
      <c r="D21" s="45"/>
      <c r="E21" s="37"/>
      <c r="F21" s="46"/>
      <c r="G21" s="102">
        <f>+G20/'3 mile 2025'!B7</f>
        <v>0.1999596652213371</v>
      </c>
      <c r="H21" s="102">
        <f>+H20/'3 mile 2030'!B7</f>
        <v>0.15523255813953488</v>
      </c>
      <c r="I21" s="46"/>
      <c r="J21" s="102">
        <f>+J20/'5 mile 2025'!B7</f>
        <v>0.21181278433186831</v>
      </c>
      <c r="K21" s="102">
        <f>+K20/'5 mile 2030'!B7</f>
        <v>0.21569788967049242</v>
      </c>
      <c r="L21" s="46"/>
      <c r="M21" s="32"/>
      <c r="N21" s="138">
        <f>+J21</f>
        <v>0.21181278433186831</v>
      </c>
      <c r="O21" s="149"/>
      <c r="P21" s="80">
        <v>0.30679236373478208</v>
      </c>
      <c r="Q21" s="90">
        <v>0.38718644067796609</v>
      </c>
      <c r="R21" s="68">
        <v>0.21218087904085017</v>
      </c>
      <c r="S21" s="68">
        <v>0.1885</v>
      </c>
    </row>
    <row r="22" spans="1:19" x14ac:dyDescent="0.2">
      <c r="B22" s="3" t="s">
        <v>5</v>
      </c>
      <c r="C22" s="3"/>
      <c r="D22" s="45"/>
      <c r="E22" s="37"/>
      <c r="F22" s="37"/>
      <c r="G22" s="104">
        <f>+G20/('3 mile age of HHer'!H7+'3 mile age of HHer'!J7)</f>
        <v>0.68238128011011701</v>
      </c>
      <c r="H22" s="105">
        <f>+H20/('3 mile age of HHer'!H22+'3 mile age of HHer'!J22)</f>
        <v>0.73706004140786752</v>
      </c>
      <c r="I22" s="103"/>
      <c r="J22" s="104">
        <f>+J20/('5 mile age of HHer'!H7+'5 mile age of HHer'!J7)</f>
        <v>0.7153645833333333</v>
      </c>
      <c r="K22" s="105">
        <f>+K20/('5 mile age of HHer'!H22+'5 mile age of HHer'!J22)</f>
        <v>0.76456692913385826</v>
      </c>
      <c r="L22" s="103"/>
      <c r="M22" s="3"/>
      <c r="N22" s="138">
        <f>+J22</f>
        <v>0.7153645833333333</v>
      </c>
      <c r="O22" s="149"/>
      <c r="P22" s="80">
        <v>0.7718877214701142</v>
      </c>
      <c r="Q22" s="90">
        <v>0.88435620130830672</v>
      </c>
      <c r="R22" s="68">
        <v>0.54827411963548289</v>
      </c>
      <c r="S22" s="68">
        <v>0.49730000000000002</v>
      </c>
    </row>
    <row r="23" spans="1:19" x14ac:dyDescent="0.2">
      <c r="D23" s="41"/>
      <c r="E23" s="36"/>
      <c r="F23" s="36"/>
      <c r="G23" s="41"/>
      <c r="H23" s="36"/>
      <c r="I23" s="103"/>
      <c r="J23" s="41"/>
      <c r="K23" s="36"/>
      <c r="L23" s="103"/>
      <c r="M23" s="3"/>
      <c r="N23" s="136"/>
      <c r="P23" s="79"/>
      <c r="Q23" s="88"/>
      <c r="R23" s="7"/>
      <c r="S23" s="7"/>
    </row>
    <row r="24" spans="1:19" x14ac:dyDescent="0.2">
      <c r="A24" s="5" t="s">
        <v>8</v>
      </c>
      <c r="D24" s="41"/>
      <c r="E24" s="36"/>
      <c r="F24" s="36"/>
      <c r="G24" s="41"/>
      <c r="H24" s="36"/>
      <c r="I24" s="110"/>
      <c r="J24" s="41"/>
      <c r="K24" s="36"/>
      <c r="L24" s="103"/>
      <c r="M24" s="3"/>
      <c r="N24" s="136"/>
      <c r="P24" s="79"/>
      <c r="Q24" s="88"/>
      <c r="R24" s="7"/>
      <c r="S24" s="7"/>
    </row>
    <row r="25" spans="1:19" x14ac:dyDescent="0.2">
      <c r="A25" s="13" t="s">
        <v>9</v>
      </c>
      <c r="B25" s="22" t="s">
        <v>11</v>
      </c>
      <c r="C25" s="13"/>
      <c r="D25" s="42"/>
      <c r="E25" s="43" t="s">
        <v>2</v>
      </c>
      <c r="F25" s="44"/>
      <c r="G25" s="99">
        <f>SUM('3 mile age of HHer'!N13:N18)+SUM('3 mile age of HHer'!P13:P18)</f>
        <v>1067</v>
      </c>
      <c r="H25" s="100">
        <f>SUM('3 mile age of HHer'!N28:N33)+SUM('3 mile age of HHer'!P28:P33)</f>
        <v>1300</v>
      </c>
      <c r="I25" s="101">
        <f>+(H25-G25)/G25</f>
        <v>0.21836925960637302</v>
      </c>
      <c r="J25" s="99">
        <f>SUM('5 mile age of HHer'!N13:N18)+SUM('5 mile age of HHer'!P13:P18)</f>
        <v>3304</v>
      </c>
      <c r="K25" s="100">
        <f>SUM('5 mile age of HHer'!N28:N33)+SUM('5 mile age of HHer'!P28:P33)</f>
        <v>4048</v>
      </c>
      <c r="L25" s="101">
        <f>+(K25-J25)/J25</f>
        <v>0.22518159806295399</v>
      </c>
      <c r="M25" s="31"/>
      <c r="N25" s="137">
        <f>+J25</f>
        <v>3304</v>
      </c>
      <c r="O25" s="148"/>
      <c r="P25" s="23">
        <v>4567.75</v>
      </c>
      <c r="Q25" s="89">
        <v>9330</v>
      </c>
      <c r="R25" s="67">
        <v>1340</v>
      </c>
      <c r="S25" s="67" t="s">
        <v>2</v>
      </c>
    </row>
    <row r="26" spans="1:19" x14ac:dyDescent="0.2">
      <c r="B26" s="3" t="s">
        <v>67</v>
      </c>
      <c r="C26" s="3"/>
      <c r="D26" s="45"/>
      <c r="E26" s="37"/>
      <c r="F26" s="46"/>
      <c r="G26" s="102">
        <f>+G25/'3 mile 2025'!B7</f>
        <v>0.10759302208329131</v>
      </c>
      <c r="H26" s="102">
        <f>+H25/'3 mile 2030'!B7</f>
        <v>9.4476744186046513E-2</v>
      </c>
      <c r="I26" s="103"/>
      <c r="J26" s="102">
        <f>+J25/'5 mile 2025'!B7</f>
        <v>0.12738067699899761</v>
      </c>
      <c r="K26" s="102">
        <f>+K25/'5 mile 2030'!B7</f>
        <v>0.14987041836356904</v>
      </c>
      <c r="L26" s="103"/>
      <c r="M26" s="32"/>
      <c r="N26" s="138">
        <f>+J26</f>
        <v>0.12738067699899761</v>
      </c>
      <c r="O26" s="149"/>
      <c r="P26" s="80">
        <v>7.0720317512336761E-2</v>
      </c>
      <c r="Q26" s="90">
        <v>0.11281277979360067</v>
      </c>
      <c r="R26" s="68">
        <v>3.1110504259051139E-2</v>
      </c>
      <c r="S26" s="68">
        <v>3.7499999999999999E-2</v>
      </c>
    </row>
    <row r="27" spans="1:19" x14ac:dyDescent="0.2">
      <c r="B27" s="3" t="s">
        <v>19</v>
      </c>
      <c r="C27" s="3"/>
      <c r="D27" s="45"/>
      <c r="E27" s="37"/>
      <c r="F27" s="37"/>
      <c r="G27" s="104">
        <f>+G25/('3 mile age of HHer'!N7+'3 mile age of HHer'!P7)</f>
        <v>0.62397660818713452</v>
      </c>
      <c r="H27" s="105">
        <f>+H25/('3 mile age of HHer'!N22+'3 mile age of HHer'!P22)</f>
        <v>0.65889508362899141</v>
      </c>
      <c r="I27" s="103"/>
      <c r="J27" s="104">
        <f>+J25/('5 mile age of HHer'!N7+'5 mile age of HHer'!P7)</f>
        <v>0.64949872223314331</v>
      </c>
      <c r="K27" s="105">
        <f>+K25/('5 mile age of HHer'!N22+'5 mile age of HHer'!P22)</f>
        <v>0.68598542619894931</v>
      </c>
      <c r="L27" s="103"/>
      <c r="M27" s="32"/>
      <c r="N27" s="138">
        <f>+J27</f>
        <v>0.64949872223314331</v>
      </c>
      <c r="O27" s="149"/>
      <c r="P27" s="80">
        <v>0.54974422815633639</v>
      </c>
      <c r="Q27" s="90">
        <v>0.64779253409906679</v>
      </c>
      <c r="R27" s="68">
        <v>0.34528192210811859</v>
      </c>
      <c r="S27" s="68">
        <v>0.3367</v>
      </c>
    </row>
    <row r="28" spans="1:19" x14ac:dyDescent="0.2">
      <c r="D28" s="41"/>
      <c r="E28" s="36"/>
      <c r="F28" s="36"/>
      <c r="G28" s="111"/>
      <c r="H28" s="112"/>
      <c r="I28" s="58"/>
      <c r="J28" s="111"/>
      <c r="K28" s="112"/>
      <c r="L28" s="58"/>
      <c r="M28" s="7"/>
      <c r="N28" s="140"/>
      <c r="O28" s="151"/>
      <c r="P28" s="81"/>
      <c r="Q28" s="92"/>
      <c r="R28" s="70"/>
      <c r="S28" s="70"/>
    </row>
    <row r="29" spans="1:19" x14ac:dyDescent="0.2">
      <c r="A29" s="18" t="s">
        <v>10</v>
      </c>
      <c r="B29" s="157" t="s">
        <v>11</v>
      </c>
      <c r="C29" s="18"/>
      <c r="D29" s="158"/>
      <c r="E29" s="159" t="s">
        <v>2</v>
      </c>
      <c r="F29" s="160"/>
      <c r="G29" s="161">
        <f>SUM('3 mile age of HHer'!N11:N18)+SUM('3 mile age of HHer'!P11:P18)</f>
        <v>1441</v>
      </c>
      <c r="H29" s="162">
        <f>SUM('3 mile age of HHer'!N26:N33)+SUM('3 mile age of HHer'!P26:P33)</f>
        <v>1693</v>
      </c>
      <c r="I29" s="163">
        <f>+(H29-G29)/G29</f>
        <v>0.17487855655794587</v>
      </c>
      <c r="J29" s="161">
        <f>SUM('5 mile age of HHer'!N11:N18)+SUM('5 mile age of HHer'!P11:P18)</f>
        <v>4370</v>
      </c>
      <c r="K29" s="162">
        <f>SUM('5 mile age of HHer'!N26:N33)+SUM('5 mile age of HHer'!P26:P33)</f>
        <v>5175</v>
      </c>
      <c r="L29" s="163">
        <f>+(K29-J29)/J29</f>
        <v>0.18421052631578946</v>
      </c>
      <c r="M29" s="31"/>
      <c r="N29" s="164">
        <f>+J29</f>
        <v>4370</v>
      </c>
      <c r="O29" s="165"/>
      <c r="P29" s="166">
        <v>6520.15</v>
      </c>
      <c r="Q29" s="167">
        <v>12896</v>
      </c>
      <c r="R29" s="168">
        <v>1845</v>
      </c>
      <c r="S29" s="168" t="s">
        <v>2</v>
      </c>
    </row>
    <row r="30" spans="1:19" x14ac:dyDescent="0.2">
      <c r="B30" s="3" t="s">
        <v>67</v>
      </c>
      <c r="C30" s="3"/>
      <c r="D30" s="45"/>
      <c r="E30" s="37"/>
      <c r="F30" s="46"/>
      <c r="G30" s="102">
        <f>+G29/'3 mile 2025'!B7</f>
        <v>0.14530604013310477</v>
      </c>
      <c r="H30" s="102">
        <f>+H29/'3 mile 2030'!B7</f>
        <v>0.12303779069767441</v>
      </c>
      <c r="I30" s="103"/>
      <c r="J30" s="102">
        <f>+J29/'5 mile 2025'!B7</f>
        <v>0.1684786799290616</v>
      </c>
      <c r="K30" s="102">
        <f>+K29/'5 mile 2030'!B7</f>
        <v>0.19159570529433542</v>
      </c>
      <c r="L30" s="103"/>
      <c r="M30" s="32"/>
      <c r="N30" s="138">
        <f>+J30</f>
        <v>0.1684786799290616</v>
      </c>
      <c r="O30" s="149"/>
      <c r="P30" s="80">
        <v>9.9986087346890337E-2</v>
      </c>
      <c r="Q30" s="90">
        <v>0.15571839215871072</v>
      </c>
      <c r="R30" s="68">
        <v>4.4186999128233678E-2</v>
      </c>
      <c r="S30" s="68">
        <v>7.1300000000000002E-2</v>
      </c>
    </row>
    <row r="31" spans="1:19" x14ac:dyDescent="0.2">
      <c r="B31" s="3" t="s">
        <v>19</v>
      </c>
      <c r="C31" s="3"/>
      <c r="D31" s="45"/>
      <c r="E31" s="37"/>
      <c r="F31" s="37"/>
      <c r="G31" s="104">
        <f>+G29/('3 mile age of HHer'!N7+'3 mile age of HHer'!P7)</f>
        <v>0.84269005847953216</v>
      </c>
      <c r="H31" s="105">
        <f>+H29/('3 mile age of HHer'!N22+'3 mile age of HHer'!P22)</f>
        <v>0.85808413583375576</v>
      </c>
      <c r="I31" s="103"/>
      <c r="J31" s="104">
        <f>+J29/('5 mile age of HHer'!N7+'5 mile age of HHer'!P7)</f>
        <v>0.85905248673088264</v>
      </c>
      <c r="K31" s="105">
        <f>+K29/('5 mile age of HHer'!N22+'5 mile age of HHer'!P22)</f>
        <v>0.87697000508388412</v>
      </c>
      <c r="L31" s="103"/>
      <c r="M31" s="32"/>
      <c r="N31" s="138">
        <f>+J31</f>
        <v>0.85905248673088264</v>
      </c>
      <c r="O31" s="149"/>
      <c r="P31" s="80">
        <v>0.78123131153516912</v>
      </c>
      <c r="Q31" s="90">
        <v>0.84770085901970693</v>
      </c>
      <c r="R31" s="68">
        <v>0.61751598527417162</v>
      </c>
      <c r="S31" s="68">
        <v>0.64039999999999997</v>
      </c>
    </row>
    <row r="32" spans="1:19" x14ac:dyDescent="0.2">
      <c r="D32" s="41"/>
      <c r="E32" s="36"/>
      <c r="F32" s="36"/>
      <c r="G32" s="41"/>
      <c r="H32" s="36"/>
      <c r="I32" s="58"/>
      <c r="J32" s="41"/>
      <c r="K32" s="36"/>
      <c r="L32" s="58"/>
      <c r="M32" s="7"/>
      <c r="N32" s="136"/>
      <c r="P32" s="79"/>
      <c r="Q32" s="88"/>
      <c r="R32" s="7"/>
      <c r="S32" s="7"/>
    </row>
    <row r="33" spans="1:19" x14ac:dyDescent="0.2">
      <c r="A33" s="5" t="s">
        <v>12</v>
      </c>
      <c r="D33" s="41"/>
      <c r="E33" s="36"/>
      <c r="F33" s="36"/>
      <c r="G33" s="41"/>
      <c r="H33" s="36"/>
      <c r="I33" s="58"/>
      <c r="J33" s="41"/>
      <c r="K33" s="36"/>
      <c r="L33" s="58"/>
      <c r="M33" s="7"/>
      <c r="N33" s="136"/>
      <c r="P33" s="79"/>
      <c r="Q33" s="88"/>
      <c r="R33" s="7"/>
      <c r="S33" s="7"/>
    </row>
    <row r="34" spans="1:19" x14ac:dyDescent="0.2">
      <c r="A34" s="3" t="s">
        <v>13</v>
      </c>
      <c r="D34" s="113">
        <f>+'1 mile age of HHer'!I19</f>
        <v>93897</v>
      </c>
      <c r="E34" s="113">
        <f>+'1 mile age of HHer'!I34</f>
        <v>105612.21</v>
      </c>
      <c r="F34" s="108">
        <f>+(E34-D34)/D34</f>
        <v>0.12476660596185188</v>
      </c>
      <c r="G34" s="113">
        <f>+'3 mile age of HHer'!I19</f>
        <v>133805.76000000001</v>
      </c>
      <c r="H34" s="114">
        <f>+'3 mile age of HHer'!I34</f>
        <v>179656.72</v>
      </c>
      <c r="I34" s="108">
        <f>+(H34-G34)/G34</f>
        <v>0.34266805853499871</v>
      </c>
      <c r="J34" s="113">
        <f>+'5 mile age of HHer'!I19</f>
        <v>140224.21</v>
      </c>
      <c r="K34" s="114">
        <f>+'5 mile age of HHer'!I34</f>
        <v>184849.14</v>
      </c>
      <c r="L34" s="108">
        <f>+(K34-J34)/J34</f>
        <v>0.318239838898005</v>
      </c>
      <c r="M34" s="33"/>
      <c r="N34" s="141">
        <f>+G34</f>
        <v>133805.76000000001</v>
      </c>
      <c r="O34" s="152"/>
      <c r="P34" s="15">
        <v>182380.16700000004</v>
      </c>
      <c r="Q34" s="93">
        <v>200000.25</v>
      </c>
      <c r="R34" s="71">
        <v>94226.49</v>
      </c>
      <c r="S34" s="71">
        <v>79717</v>
      </c>
    </row>
    <row r="35" spans="1:19" x14ac:dyDescent="0.2">
      <c r="A35" s="13" t="s">
        <v>22</v>
      </c>
      <c r="B35" s="13"/>
      <c r="C35" s="13"/>
      <c r="D35" s="115">
        <f>+'1 mile age of HHer'!K19</f>
        <v>86300.74</v>
      </c>
      <c r="E35" s="115">
        <f>+'1 mile age of HHer'!K34</f>
        <v>93786.89</v>
      </c>
      <c r="F35" s="116">
        <f>+(E35-D35)/D35</f>
        <v>8.6744910877936773E-2</v>
      </c>
      <c r="G35" s="115">
        <f>+'3 mile age of HHer'!K19</f>
        <v>117186.59</v>
      </c>
      <c r="H35" s="117">
        <f>+'3 mile age of HHer'!K34</f>
        <v>141975.19</v>
      </c>
      <c r="I35" s="116">
        <f>+(H35-G35)/G35</f>
        <v>0.2115310292756194</v>
      </c>
      <c r="J35" s="115">
        <f>+'5 mile age of HHer'!K19</f>
        <v>126063.86</v>
      </c>
      <c r="K35" s="117">
        <f>+'5 mile age of HHer'!K34</f>
        <v>144261.42000000001</v>
      </c>
      <c r="L35" s="116">
        <f>+(K35-J35)/J35</f>
        <v>0.14435191814688217</v>
      </c>
      <c r="M35" s="21"/>
      <c r="N35" s="142">
        <f>+G35</f>
        <v>117186.59</v>
      </c>
      <c r="O35" s="153"/>
      <c r="P35" s="14">
        <v>179223.08450000003</v>
      </c>
      <c r="Q35" s="94">
        <v>200000.18</v>
      </c>
      <c r="R35" s="72">
        <v>85014.18</v>
      </c>
      <c r="S35" s="72">
        <v>69542</v>
      </c>
    </row>
    <row r="36" spans="1:19" x14ac:dyDescent="0.2">
      <c r="A36" s="13" t="s">
        <v>23</v>
      </c>
      <c r="B36" s="13"/>
      <c r="C36" s="13"/>
      <c r="D36" s="115">
        <f>+'1 mile age of HHer'!O19</f>
        <v>88769.279999999999</v>
      </c>
      <c r="E36" s="115">
        <f>+'1 mile age of HHer'!O34</f>
        <v>90531.91</v>
      </c>
      <c r="F36" s="116">
        <f>+(E36-D36)/D36</f>
        <v>1.9856306145549504E-2</v>
      </c>
      <c r="G36" s="115">
        <f>+'3 mile age of HHer'!O19</f>
        <v>81199.5</v>
      </c>
      <c r="H36" s="117">
        <f>+'3 mile age of HHer'!O34</f>
        <v>86801.88</v>
      </c>
      <c r="I36" s="116">
        <f>+(H36-G36)/G36</f>
        <v>6.8995252433820459E-2</v>
      </c>
      <c r="J36" s="115">
        <f>+'5 mile age of HHer'!O19</f>
        <v>80573.88</v>
      </c>
      <c r="K36" s="117">
        <f>+'5 mile age of HHer'!O34</f>
        <v>89588.07</v>
      </c>
      <c r="L36" s="116">
        <f>+(K36-J36)/J36</f>
        <v>0.11187484082931096</v>
      </c>
      <c r="M36" s="21"/>
      <c r="N36" s="142">
        <f>+G36</f>
        <v>81199.5</v>
      </c>
      <c r="O36" s="153"/>
      <c r="P36" s="14">
        <v>77854.116500000004</v>
      </c>
      <c r="Q36" s="94">
        <v>104275.43</v>
      </c>
      <c r="R36" s="72">
        <v>42413.56</v>
      </c>
      <c r="S36" s="72">
        <v>37421</v>
      </c>
    </row>
    <row r="37" spans="1:19" x14ac:dyDescent="0.2">
      <c r="A37" s="13" t="s">
        <v>14</v>
      </c>
      <c r="B37" s="13"/>
      <c r="C37" s="13"/>
      <c r="D37" s="115">
        <f>+'1 mile age of HHer'!Q19</f>
        <v>86976.4</v>
      </c>
      <c r="E37" s="115">
        <f>+'1 mile age of HHer'!Q34</f>
        <v>90678.75</v>
      </c>
      <c r="F37" s="116">
        <f>+(E37-D37)/D37</f>
        <v>4.256729411656502E-2</v>
      </c>
      <c r="G37" s="115">
        <f>+'3 mile age of HHer'!Q19</f>
        <v>50817.78</v>
      </c>
      <c r="H37" s="117">
        <f>+'3 mile age of HHer'!Q34</f>
        <v>56465.29</v>
      </c>
      <c r="I37" s="116">
        <f>+(H37-G37)/G37</f>
        <v>0.11113256029680954</v>
      </c>
      <c r="J37" s="115">
        <f>+'5 mile age of HHer'!Q19</f>
        <v>62265.04</v>
      </c>
      <c r="K37" s="117">
        <f>+'5 mile age of HHer'!Q34</f>
        <v>69700.58</v>
      </c>
      <c r="L37" s="116">
        <f>+(K37-J37)/J37</f>
        <v>0.11941757364967566</v>
      </c>
      <c r="M37" s="21"/>
      <c r="N37" s="142">
        <f>+G37</f>
        <v>50817.78</v>
      </c>
      <c r="O37" s="153"/>
      <c r="P37" s="14">
        <v>52332.9375</v>
      </c>
      <c r="Q37" s="94">
        <v>72329.070000000007</v>
      </c>
      <c r="R37" s="72">
        <v>27758.21</v>
      </c>
      <c r="S37" s="72">
        <v>28472</v>
      </c>
    </row>
    <row r="38" spans="1:19" x14ac:dyDescent="0.2">
      <c r="A38" s="3" t="s">
        <v>16</v>
      </c>
      <c r="D38" s="131">
        <f>+'1 mile 2025'!C16</f>
        <v>84735.21</v>
      </c>
      <c r="E38" s="119">
        <f>+'1 mile 2030'!C16</f>
        <v>90202.44</v>
      </c>
      <c r="F38" s="108">
        <f>+(E38-D38)/D38</f>
        <v>6.4521348327336359E-2</v>
      </c>
      <c r="G38" s="118">
        <f>+'3 mile 2025'!C16</f>
        <v>88794.59</v>
      </c>
      <c r="H38" s="119">
        <f>+'3 mile 2030'!C16</f>
        <v>122411.99</v>
      </c>
      <c r="I38" s="108">
        <f>+(H38-G38)/G38</f>
        <v>0.37859738977340862</v>
      </c>
      <c r="J38" s="118">
        <f>+'5 mile 2025'!C16</f>
        <v>93777.68</v>
      </c>
      <c r="K38" s="119">
        <f>+'5 mile 2030'!C16</f>
        <v>103039.89</v>
      </c>
      <c r="L38" s="108">
        <f>+(K38-J38)/J38</f>
        <v>9.8767745160682235E-2</v>
      </c>
      <c r="M38" s="33"/>
      <c r="N38" s="141">
        <f>+G38</f>
        <v>88794.59</v>
      </c>
      <c r="O38" s="152"/>
      <c r="P38" s="15">
        <v>122802.27750000001</v>
      </c>
      <c r="Q38" s="93">
        <v>167842.44</v>
      </c>
      <c r="R38" s="71">
        <v>67333.320000000007</v>
      </c>
      <c r="S38" s="71">
        <v>60133</v>
      </c>
    </row>
    <row r="39" spans="1:19" x14ac:dyDescent="0.2">
      <c r="D39" s="120"/>
      <c r="E39" s="121"/>
      <c r="F39" s="121"/>
      <c r="G39" s="120"/>
      <c r="H39" s="121"/>
      <c r="I39" s="122"/>
      <c r="J39" s="120"/>
      <c r="K39" s="121"/>
      <c r="L39" s="123"/>
      <c r="M39" s="25"/>
      <c r="N39" s="143"/>
      <c r="O39" s="154"/>
      <c r="P39" s="82"/>
      <c r="Q39" s="95"/>
      <c r="R39" s="73"/>
      <c r="S39" s="73"/>
    </row>
    <row r="40" spans="1:19" x14ac:dyDescent="0.2">
      <c r="A40" s="13" t="s">
        <v>15</v>
      </c>
      <c r="B40" s="13"/>
      <c r="C40" s="13"/>
      <c r="D40" s="124">
        <f>+'1 mile 2025'!C18</f>
        <v>456584.46</v>
      </c>
      <c r="E40" s="125">
        <f>+'1 mile 2030'!C18</f>
        <v>554623.35</v>
      </c>
      <c r="F40" s="126">
        <f>+(E40-D40)/D40</f>
        <v>0.21472235388825969</v>
      </c>
      <c r="G40" s="124">
        <f>+'3 mile 2025'!C18</f>
        <v>455250.45</v>
      </c>
      <c r="H40" s="125">
        <f>+'3 mile 2030'!C18</f>
        <v>595082.56000000006</v>
      </c>
      <c r="I40" s="126">
        <f>+(H40-G40)/G40</f>
        <v>0.30715424883160475</v>
      </c>
      <c r="J40" s="124">
        <f>+'5 mile 2025'!C18</f>
        <v>506354.79</v>
      </c>
      <c r="K40" s="125">
        <f>+'5 mile 2030'!C18</f>
        <v>587125.59</v>
      </c>
      <c r="L40" s="126">
        <f>+(K40-J40)/J40</f>
        <v>0.15951424099296066</v>
      </c>
      <c r="M40" s="21"/>
      <c r="N40" s="142">
        <f>+G40</f>
        <v>455250.45</v>
      </c>
      <c r="O40" s="153"/>
      <c r="P40" s="14">
        <v>557705.96550000005</v>
      </c>
      <c r="Q40" s="94">
        <v>850703.37</v>
      </c>
      <c r="R40" s="72">
        <v>284294.02</v>
      </c>
      <c r="S40" s="72">
        <v>207644</v>
      </c>
    </row>
    <row r="41" spans="1:19" x14ac:dyDescent="0.2">
      <c r="A41" s="18"/>
      <c r="B41" s="18"/>
      <c r="C41" s="18"/>
      <c r="D41" s="50"/>
      <c r="E41" s="51"/>
      <c r="F41" s="52"/>
      <c r="G41" s="50"/>
      <c r="H41" s="51"/>
      <c r="I41" s="59"/>
      <c r="J41" s="50"/>
      <c r="K41" s="51"/>
      <c r="L41" s="59"/>
      <c r="M41" s="21"/>
      <c r="N41" s="144"/>
      <c r="O41" s="155"/>
      <c r="P41" s="83"/>
      <c r="Q41" s="96"/>
      <c r="R41" s="74"/>
      <c r="S41" s="74"/>
    </row>
    <row r="42" spans="1:19" x14ac:dyDescent="0.2">
      <c r="A42" s="18" t="s">
        <v>66</v>
      </c>
      <c r="B42" s="18"/>
      <c r="C42" s="18"/>
      <c r="D42" s="127">
        <f>+'1 mile 2025'!C14</f>
        <v>39.619999999999997</v>
      </c>
      <c r="E42" s="128">
        <f>+'1 mile 2030'!C14</f>
        <v>40.880000000000003</v>
      </c>
      <c r="F42" s="129">
        <f>+(E42-D42)/D42</f>
        <v>3.1802120141342885E-2</v>
      </c>
      <c r="G42" s="127">
        <f>+'3 mile 2025'!C14</f>
        <v>34.17</v>
      </c>
      <c r="H42" s="128">
        <f>+'3 mile 2030'!C14</f>
        <v>39.619999999999997</v>
      </c>
      <c r="I42" s="129">
        <f>+(H42-G42)/G42</f>
        <v>0.15949663447468526</v>
      </c>
      <c r="J42" s="127">
        <f>+'5 mile 2025'!C14</f>
        <v>41.66</v>
      </c>
      <c r="K42" s="128">
        <f>+'5 mile 2030'!C14</f>
        <v>42.84</v>
      </c>
      <c r="L42" s="129">
        <f>+(K42-J42)/J42</f>
        <v>2.8324531925108185E-2</v>
      </c>
      <c r="M42" s="64"/>
      <c r="N42" s="145">
        <f>+G42</f>
        <v>34.17</v>
      </c>
      <c r="O42" s="156"/>
      <c r="P42" s="84">
        <v>42.380999999999993</v>
      </c>
      <c r="Q42" s="97">
        <v>46.09</v>
      </c>
      <c r="R42" s="75">
        <v>35.619999999999997</v>
      </c>
      <c r="S42" s="75">
        <v>38.4</v>
      </c>
    </row>
    <row r="43" spans="1:19" x14ac:dyDescent="0.2">
      <c r="A43" s="18"/>
      <c r="B43" s="18"/>
      <c r="C43" s="18"/>
      <c r="D43" s="50"/>
      <c r="E43" s="51"/>
      <c r="F43" s="52"/>
      <c r="G43" s="19"/>
      <c r="H43" s="20"/>
      <c r="I43" s="21"/>
      <c r="J43" s="50"/>
      <c r="K43" s="51"/>
      <c r="L43" s="59"/>
      <c r="M43" s="64"/>
      <c r="N43" s="144"/>
      <c r="O43" s="155"/>
      <c r="P43" s="180"/>
      <c r="Q43" s="96"/>
      <c r="R43" s="74"/>
      <c r="S43" s="74"/>
    </row>
    <row r="44" spans="1:19" ht="21" customHeight="1" x14ac:dyDescent="0.2">
      <c r="D44" s="38">
        <f>+D6</f>
        <v>2025</v>
      </c>
      <c r="E44" s="39">
        <f>+E6</f>
        <v>2030</v>
      </c>
      <c r="F44" s="40" t="s">
        <v>17</v>
      </c>
      <c r="G44" s="11">
        <f>+G6</f>
        <v>2025</v>
      </c>
      <c r="H44" s="12">
        <f>+H6</f>
        <v>2030</v>
      </c>
      <c r="I44" s="28" t="s">
        <v>17</v>
      </c>
      <c r="J44" s="38">
        <f>+J6</f>
        <v>2025</v>
      </c>
      <c r="K44" s="39">
        <f>+K6</f>
        <v>2030</v>
      </c>
      <c r="L44" s="57" t="s">
        <v>17</v>
      </c>
      <c r="M44" s="30"/>
      <c r="N44" s="135"/>
      <c r="O44" s="12"/>
      <c r="P44" s="181"/>
      <c r="Q44" s="87"/>
      <c r="R44" s="66"/>
      <c r="S44" s="66"/>
    </row>
    <row r="45" spans="1:19" ht="28.5" customHeight="1" thickBot="1" x14ac:dyDescent="0.25">
      <c r="D45" s="53"/>
      <c r="E45" s="62" t="str">
        <f>+E5</f>
        <v>1 Mile</v>
      </c>
      <c r="F45" s="54"/>
      <c r="G45" s="16"/>
      <c r="H45" s="63" t="str">
        <f>+H5</f>
        <v>3 Miles</v>
      </c>
      <c r="I45" s="17"/>
      <c r="J45" s="53"/>
      <c r="K45" s="62" t="str">
        <f>+K5</f>
        <v>5 Miles</v>
      </c>
      <c r="L45" s="60"/>
      <c r="M45" s="7"/>
      <c r="N45" s="146" t="str">
        <f>+N5</f>
        <v>Ocoee, FL</v>
      </c>
      <c r="O45" s="147"/>
      <c r="P45" s="85" t="s">
        <v>68</v>
      </c>
      <c r="Q45" s="98" t="s">
        <v>69</v>
      </c>
      <c r="R45" s="76" t="s">
        <v>70</v>
      </c>
      <c r="S45" s="76" t="s">
        <v>117</v>
      </c>
    </row>
    <row r="46" spans="1:19" x14ac:dyDescent="0.2">
      <c r="J46" s="29"/>
      <c r="K46" s="29"/>
      <c r="L46" s="29"/>
    </row>
    <row r="47" spans="1:19" x14ac:dyDescent="0.2">
      <c r="A47" s="34" t="str">
        <f>+'1 mile summary tab'!A2</f>
        <v>Trade Area: 935 Capitol Landing Rd - 1 mi.</v>
      </c>
      <c r="B47" s="34"/>
      <c r="C47" s="35"/>
      <c r="D47" s="35"/>
      <c r="E47" s="36"/>
      <c r="G47" s="37"/>
      <c r="H47" s="36"/>
      <c r="J47" s="3"/>
    </row>
    <row r="48" spans="1:19" x14ac:dyDescent="0.2">
      <c r="A48" s="37" t="str">
        <f>+'3 mile summary'!A2</f>
        <v>Trade Area: 935 Capitol Landing Rd - 3 mi.</v>
      </c>
      <c r="B48" s="36"/>
      <c r="C48" s="36"/>
      <c r="D48" s="36"/>
      <c r="E48" s="36"/>
      <c r="F48" s="36"/>
      <c r="G48" s="37"/>
      <c r="H48" s="36"/>
      <c r="J48" s="3"/>
    </row>
    <row r="49" spans="1:7" x14ac:dyDescent="0.2">
      <c r="A49" s="3" t="str">
        <f>+'5 mile summary'!A2</f>
        <v>Trade Area: 935 Capitol Landing Rd - 5 mi.</v>
      </c>
    </row>
    <row r="51" spans="1:7" x14ac:dyDescent="0.2">
      <c r="G51" s="132"/>
    </row>
  </sheetData>
  <mergeCells count="3">
    <mergeCell ref="P4:R4"/>
    <mergeCell ref="P43:P44"/>
    <mergeCell ref="P3:R3"/>
  </mergeCells>
  <pageMargins left="0.7" right="0.7" top="0.75" bottom="0.75" header="0.3" footer="0.5"/>
  <pageSetup scale="61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E5D6-1314-4D1F-8523-0B1EE92F5D04}">
  <sheetPr>
    <tabColor rgb="FFFF0000"/>
  </sheetPr>
  <dimension ref="A1"/>
  <sheetViews>
    <sheetView workbookViewId="0">
      <selection activeCell="G38" sqref="G38"/>
    </sheetView>
  </sheetViews>
  <sheetFormatPr defaultRowHeight="12.75" x14ac:dyDescent="0.2"/>
  <sheetData>
    <row r="1" spans="1:1" x14ac:dyDescent="0.2">
      <c r="A1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D931-93BC-4DA9-B4A7-C4B7A5AC6503}">
  <dimension ref="A1:C31"/>
  <sheetViews>
    <sheetView workbookViewId="0">
      <selection sqref="A1:XFD1048576"/>
    </sheetView>
  </sheetViews>
  <sheetFormatPr defaultRowHeight="12.75" x14ac:dyDescent="0.2"/>
  <cols>
    <col min="1" max="1" width="43.125" bestFit="1" customWidth="1"/>
    <col min="2" max="2" width="6.375" bestFit="1" customWidth="1"/>
    <col min="3" max="3" width="7.375" bestFit="1" customWidth="1"/>
  </cols>
  <sheetData>
    <row r="1" spans="1:3" ht="30" x14ac:dyDescent="0.4">
      <c r="A1" t="s">
        <v>123</v>
      </c>
    </row>
    <row r="2" spans="1:3" ht="15" x14ac:dyDescent="0.2">
      <c r="A2" s="130" t="s">
        <v>159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37</v>
      </c>
      <c r="B5" s="184"/>
      <c r="C5" s="184"/>
    </row>
    <row r="6" spans="1:3" ht="14.25" x14ac:dyDescent="0.2">
      <c r="A6" s="173" t="s">
        <v>71</v>
      </c>
      <c r="B6" s="174">
        <v>3138</v>
      </c>
      <c r="C6" s="175">
        <v>100</v>
      </c>
    </row>
    <row r="7" spans="1:3" ht="14.25" x14ac:dyDescent="0.2">
      <c r="A7" s="173" t="s">
        <v>120</v>
      </c>
      <c r="B7" s="174">
        <v>3585</v>
      </c>
      <c r="C7" s="175">
        <v>100</v>
      </c>
    </row>
    <row r="8" spans="1:3" ht="14.25" x14ac:dyDescent="0.2">
      <c r="A8" s="173" t="s">
        <v>124</v>
      </c>
      <c r="B8" s="174">
        <v>3582</v>
      </c>
      <c r="C8" s="175">
        <v>100</v>
      </c>
    </row>
    <row r="9" spans="1:3" ht="14.25" x14ac:dyDescent="0.2">
      <c r="A9" s="173" t="s">
        <v>125</v>
      </c>
      <c r="B9" s="174">
        <v>3498</v>
      </c>
      <c r="C9" s="175">
        <v>100</v>
      </c>
    </row>
    <row r="10" spans="1:3" ht="15" x14ac:dyDescent="0.25">
      <c r="A10" s="183" t="s">
        <v>72</v>
      </c>
      <c r="B10" s="184"/>
      <c r="C10" s="184"/>
    </row>
    <row r="11" spans="1:3" ht="14.25" x14ac:dyDescent="0.2">
      <c r="A11" s="173" t="s">
        <v>121</v>
      </c>
      <c r="B11" s="174" t="s">
        <v>88</v>
      </c>
      <c r="C11" s="175">
        <v>14.24</v>
      </c>
    </row>
    <row r="12" spans="1:3" ht="14.25" x14ac:dyDescent="0.2">
      <c r="A12" s="173" t="s">
        <v>126</v>
      </c>
      <c r="B12" s="174" t="s">
        <v>88</v>
      </c>
      <c r="C12" s="175">
        <v>-0.08</v>
      </c>
    </row>
    <row r="13" spans="1:3" ht="14.25" x14ac:dyDescent="0.2">
      <c r="A13" s="173" t="s">
        <v>127</v>
      </c>
      <c r="B13" s="174" t="s">
        <v>88</v>
      </c>
      <c r="C13" s="175">
        <v>-2.35</v>
      </c>
    </row>
    <row r="14" spans="1:3" ht="15" x14ac:dyDescent="0.25">
      <c r="A14" s="183" t="s">
        <v>38</v>
      </c>
      <c r="B14" s="184"/>
      <c r="C14" s="184"/>
    </row>
    <row r="15" spans="1:3" ht="14.25" x14ac:dyDescent="0.2">
      <c r="A15" s="173" t="s">
        <v>71</v>
      </c>
      <c r="B15" s="174">
        <v>1342</v>
      </c>
      <c r="C15" s="175">
        <v>100</v>
      </c>
    </row>
    <row r="16" spans="1:3" ht="14.25" x14ac:dyDescent="0.2">
      <c r="A16" s="173" t="s">
        <v>120</v>
      </c>
      <c r="B16" s="174">
        <v>1572</v>
      </c>
      <c r="C16" s="175">
        <v>100</v>
      </c>
    </row>
    <row r="17" spans="1:3" ht="14.25" x14ac:dyDescent="0.2">
      <c r="A17" s="173" t="s">
        <v>124</v>
      </c>
      <c r="B17" s="174">
        <v>1577</v>
      </c>
      <c r="C17" s="175">
        <v>100</v>
      </c>
    </row>
    <row r="18" spans="1:3" ht="14.25" x14ac:dyDescent="0.2">
      <c r="A18" s="173" t="s">
        <v>125</v>
      </c>
      <c r="B18" s="174">
        <v>1539</v>
      </c>
      <c r="C18" s="175">
        <v>100</v>
      </c>
    </row>
    <row r="19" spans="1:3" ht="15" x14ac:dyDescent="0.25">
      <c r="A19" s="183" t="s">
        <v>73</v>
      </c>
      <c r="B19" s="184"/>
      <c r="C19" s="184"/>
    </row>
    <row r="20" spans="1:3" ht="14.25" x14ac:dyDescent="0.2">
      <c r="A20" s="173" t="s">
        <v>121</v>
      </c>
      <c r="B20" s="174" t="s">
        <v>88</v>
      </c>
      <c r="C20" s="175">
        <v>17.14</v>
      </c>
    </row>
    <row r="21" spans="1:3" ht="14.25" x14ac:dyDescent="0.2">
      <c r="A21" s="173" t="s">
        <v>126</v>
      </c>
      <c r="B21" s="174" t="s">
        <v>88</v>
      </c>
      <c r="C21" s="175">
        <v>0.32</v>
      </c>
    </row>
    <row r="22" spans="1:3" ht="14.25" x14ac:dyDescent="0.2">
      <c r="A22" s="173" t="s">
        <v>127</v>
      </c>
      <c r="B22" s="174" t="s">
        <v>88</v>
      </c>
      <c r="C22" s="175">
        <v>-2.41</v>
      </c>
    </row>
    <row r="23" spans="1:3" ht="15" x14ac:dyDescent="0.25">
      <c r="A23" s="183" t="s">
        <v>74</v>
      </c>
      <c r="B23" s="184"/>
      <c r="C23" s="184"/>
    </row>
    <row r="24" spans="1:3" ht="14.25" x14ac:dyDescent="0.2">
      <c r="A24" s="173" t="s">
        <v>71</v>
      </c>
      <c r="B24" s="174">
        <v>796</v>
      </c>
      <c r="C24" s="175">
        <v>100</v>
      </c>
    </row>
    <row r="25" spans="1:3" ht="14.25" x14ac:dyDescent="0.2">
      <c r="A25" s="173" t="s">
        <v>120</v>
      </c>
      <c r="B25" s="174">
        <v>906</v>
      </c>
      <c r="C25" s="175">
        <v>100</v>
      </c>
    </row>
    <row r="26" spans="1:3" ht="14.25" x14ac:dyDescent="0.2">
      <c r="A26" s="173" t="s">
        <v>124</v>
      </c>
      <c r="B26" s="174">
        <v>907</v>
      </c>
      <c r="C26" s="175">
        <v>100</v>
      </c>
    </row>
    <row r="27" spans="1:3" ht="14.25" x14ac:dyDescent="0.2">
      <c r="A27" s="173" t="s">
        <v>125</v>
      </c>
      <c r="B27" s="174">
        <v>889</v>
      </c>
      <c r="C27" s="175">
        <v>100</v>
      </c>
    </row>
    <row r="28" spans="1:3" ht="15" x14ac:dyDescent="0.25">
      <c r="A28" s="183" t="s">
        <v>75</v>
      </c>
      <c r="B28" s="184"/>
      <c r="C28" s="184"/>
    </row>
    <row r="29" spans="1:3" ht="14.25" x14ac:dyDescent="0.2">
      <c r="A29" s="173" t="s">
        <v>121</v>
      </c>
      <c r="B29" s="174" t="s">
        <v>88</v>
      </c>
      <c r="C29" s="175">
        <v>13.82</v>
      </c>
    </row>
    <row r="30" spans="1:3" ht="14.25" x14ac:dyDescent="0.2">
      <c r="A30" s="173" t="s">
        <v>126</v>
      </c>
      <c r="B30" s="174" t="s">
        <v>88</v>
      </c>
      <c r="C30" s="175">
        <v>0.11</v>
      </c>
    </row>
    <row r="31" spans="1:3" ht="14.25" x14ac:dyDescent="0.2">
      <c r="A31" s="173" t="s">
        <v>127</v>
      </c>
      <c r="B31" s="174" t="s">
        <v>88</v>
      </c>
      <c r="C31" s="175">
        <v>-1.99</v>
      </c>
    </row>
  </sheetData>
  <mergeCells count="6">
    <mergeCell ref="A28:C28"/>
    <mergeCell ref="A5:C5"/>
    <mergeCell ref="A10:C10"/>
    <mergeCell ref="A14:C14"/>
    <mergeCell ref="A19:C19"/>
    <mergeCell ref="A23:C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3920-AD96-4A53-8F31-B7FF18676A45}">
  <dimension ref="A1:C45"/>
  <sheetViews>
    <sheetView workbookViewId="0">
      <selection sqref="A1:XFD1048576"/>
    </sheetView>
  </sheetViews>
  <sheetFormatPr defaultRowHeight="12.75" x14ac:dyDescent="0.2"/>
  <cols>
    <col min="1" max="1" width="56.5" bestFit="1" customWidth="1"/>
    <col min="2" max="2" width="6.375" bestFit="1" customWidth="1"/>
    <col min="3" max="3" width="10.75" bestFit="1" customWidth="1"/>
  </cols>
  <sheetData>
    <row r="1" spans="1:3" ht="30" x14ac:dyDescent="0.4">
      <c r="A1" t="s">
        <v>128</v>
      </c>
    </row>
    <row r="2" spans="1:3" ht="15" x14ac:dyDescent="0.2">
      <c r="A2" s="130" t="s">
        <v>159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129</v>
      </c>
      <c r="B5" s="184"/>
      <c r="C5" s="184"/>
    </row>
    <row r="6" spans="1:3" ht="14.25" x14ac:dyDescent="0.2">
      <c r="A6" s="173" t="s">
        <v>76</v>
      </c>
      <c r="B6" s="174">
        <v>2100</v>
      </c>
      <c r="C6" s="175">
        <v>58.63</v>
      </c>
    </row>
    <row r="7" spans="1:3" ht="14.25" x14ac:dyDescent="0.2">
      <c r="A7" s="173" t="s">
        <v>77</v>
      </c>
      <c r="B7" s="174">
        <v>699</v>
      </c>
      <c r="C7" s="175">
        <v>19.510000000000002</v>
      </c>
    </row>
    <row r="8" spans="1:3" ht="14.25" x14ac:dyDescent="0.2">
      <c r="A8" s="173" t="s">
        <v>78</v>
      </c>
      <c r="B8" s="174">
        <v>19</v>
      </c>
      <c r="C8" s="175">
        <v>0.53</v>
      </c>
    </row>
    <row r="9" spans="1:3" ht="14.25" x14ac:dyDescent="0.2">
      <c r="A9" s="173" t="s">
        <v>79</v>
      </c>
      <c r="B9" s="174">
        <v>102</v>
      </c>
      <c r="C9" s="175">
        <v>2.85</v>
      </c>
    </row>
    <row r="10" spans="1:3" ht="14.25" x14ac:dyDescent="0.2">
      <c r="A10" s="173" t="s">
        <v>80</v>
      </c>
      <c r="B10" s="174">
        <v>20</v>
      </c>
      <c r="C10" s="175">
        <v>0.56000000000000005</v>
      </c>
    </row>
    <row r="11" spans="1:3" ht="14.25" x14ac:dyDescent="0.2">
      <c r="A11" s="173" t="s">
        <v>81</v>
      </c>
      <c r="B11" s="174">
        <v>222</v>
      </c>
      <c r="C11" s="175">
        <v>6.2</v>
      </c>
    </row>
    <row r="12" spans="1:3" ht="14.25" x14ac:dyDescent="0.2">
      <c r="A12" s="173" t="s">
        <v>82</v>
      </c>
      <c r="B12" s="174">
        <v>420</v>
      </c>
      <c r="C12" s="175">
        <v>11.72</v>
      </c>
    </row>
    <row r="13" spans="1:3" ht="15" x14ac:dyDescent="0.25">
      <c r="A13" s="183" t="s">
        <v>130</v>
      </c>
      <c r="B13" s="184"/>
      <c r="C13" s="184"/>
    </row>
    <row r="14" spans="1:3" ht="14.25" x14ac:dyDescent="0.2">
      <c r="A14" s="173" t="s">
        <v>83</v>
      </c>
      <c r="B14" s="174">
        <v>465</v>
      </c>
      <c r="C14" s="175">
        <v>12.98</v>
      </c>
    </row>
    <row r="15" spans="1:3" ht="14.25" x14ac:dyDescent="0.2">
      <c r="A15" s="173" t="s">
        <v>84</v>
      </c>
      <c r="B15" s="174">
        <v>3117</v>
      </c>
      <c r="C15" s="175">
        <v>87.02</v>
      </c>
    </row>
    <row r="16" spans="1:3" ht="15" x14ac:dyDescent="0.25">
      <c r="A16" s="183" t="s">
        <v>131</v>
      </c>
      <c r="B16" s="184"/>
      <c r="C16" s="184"/>
    </row>
    <row r="17" spans="1:3" ht="14.25" x14ac:dyDescent="0.2">
      <c r="A17" s="173" t="s">
        <v>85</v>
      </c>
      <c r="B17" s="174">
        <v>658</v>
      </c>
      <c r="C17" s="175">
        <v>41.73</v>
      </c>
    </row>
    <row r="18" spans="1:3" ht="14.25" x14ac:dyDescent="0.2">
      <c r="A18" s="173" t="s">
        <v>86</v>
      </c>
      <c r="B18" s="174">
        <v>919</v>
      </c>
      <c r="C18" s="175">
        <v>58.27</v>
      </c>
    </row>
    <row r="19" spans="1:3" ht="14.25" x14ac:dyDescent="0.2">
      <c r="A19" s="173" t="s">
        <v>87</v>
      </c>
      <c r="B19" s="174" t="s">
        <v>88</v>
      </c>
      <c r="C19" s="175">
        <v>2.27</v>
      </c>
    </row>
    <row r="20" spans="1:3" ht="15" x14ac:dyDescent="0.25">
      <c r="A20" s="183" t="s">
        <v>132</v>
      </c>
      <c r="B20" s="184"/>
      <c r="C20" s="184"/>
    </row>
    <row r="21" spans="1:3" ht="14.25" x14ac:dyDescent="0.2">
      <c r="A21" s="173" t="s">
        <v>89</v>
      </c>
      <c r="B21" s="174">
        <v>90</v>
      </c>
      <c r="C21" s="175">
        <v>5.71</v>
      </c>
    </row>
    <row r="22" spans="1:3" ht="14.25" x14ac:dyDescent="0.2">
      <c r="A22" s="173" t="s">
        <v>26</v>
      </c>
      <c r="B22" s="174">
        <v>36</v>
      </c>
      <c r="C22" s="175">
        <v>2.2799999999999998</v>
      </c>
    </row>
    <row r="23" spans="1:3" ht="14.25" x14ac:dyDescent="0.2">
      <c r="A23" s="173" t="s">
        <v>27</v>
      </c>
      <c r="B23" s="174">
        <v>116</v>
      </c>
      <c r="C23" s="175">
        <v>7.36</v>
      </c>
    </row>
    <row r="24" spans="1:3" ht="14.25" x14ac:dyDescent="0.2">
      <c r="A24" s="173" t="s">
        <v>28</v>
      </c>
      <c r="B24" s="174">
        <v>170</v>
      </c>
      <c r="C24" s="175">
        <v>10.78</v>
      </c>
    </row>
    <row r="25" spans="1:3" ht="14.25" x14ac:dyDescent="0.2">
      <c r="A25" s="173" t="s">
        <v>29</v>
      </c>
      <c r="B25" s="174">
        <v>258</v>
      </c>
      <c r="C25" s="175">
        <v>16.36</v>
      </c>
    </row>
    <row r="26" spans="1:3" ht="14.25" x14ac:dyDescent="0.2">
      <c r="A26" s="173" t="s">
        <v>30</v>
      </c>
      <c r="B26" s="174">
        <v>294</v>
      </c>
      <c r="C26" s="175">
        <v>18.64</v>
      </c>
    </row>
    <row r="27" spans="1:3" ht="14.25" x14ac:dyDescent="0.2">
      <c r="A27" s="173" t="s">
        <v>31</v>
      </c>
      <c r="B27" s="174">
        <v>184</v>
      </c>
      <c r="C27" s="175">
        <v>11.67</v>
      </c>
    </row>
    <row r="28" spans="1:3" ht="14.25" x14ac:dyDescent="0.2">
      <c r="A28" s="173" t="s">
        <v>32</v>
      </c>
      <c r="B28" s="174">
        <v>95</v>
      </c>
      <c r="C28" s="175">
        <v>6.02</v>
      </c>
    </row>
    <row r="29" spans="1:3" ht="14.25" x14ac:dyDescent="0.2">
      <c r="A29" s="173" t="s">
        <v>33</v>
      </c>
      <c r="B29" s="174">
        <v>128</v>
      </c>
      <c r="C29" s="175">
        <v>8.1199999999999992</v>
      </c>
    </row>
    <row r="30" spans="1:3" ht="14.25" x14ac:dyDescent="0.2">
      <c r="A30" s="173" t="s">
        <v>90</v>
      </c>
      <c r="B30" s="174">
        <v>70</v>
      </c>
      <c r="C30" s="175">
        <v>4.4400000000000004</v>
      </c>
    </row>
    <row r="31" spans="1:3" ht="14.25" x14ac:dyDescent="0.2">
      <c r="A31" s="173" t="s">
        <v>91</v>
      </c>
      <c r="B31" s="174">
        <v>86</v>
      </c>
      <c r="C31" s="175">
        <v>5.45</v>
      </c>
    </row>
    <row r="32" spans="1:3" ht="14.25" x14ac:dyDescent="0.2">
      <c r="A32" s="173" t="s">
        <v>92</v>
      </c>
      <c r="B32" s="174">
        <v>48</v>
      </c>
      <c r="C32" s="175">
        <v>3.04</v>
      </c>
    </row>
    <row r="33" spans="1:3" ht="14.25" x14ac:dyDescent="0.2">
      <c r="A33" s="173" t="s">
        <v>93</v>
      </c>
      <c r="B33" s="174" t="s">
        <v>88</v>
      </c>
      <c r="C33" s="175">
        <v>115897</v>
      </c>
    </row>
    <row r="34" spans="1:3" ht="14.25" x14ac:dyDescent="0.2">
      <c r="A34" s="173" t="s">
        <v>34</v>
      </c>
      <c r="B34" s="174" t="s">
        <v>88</v>
      </c>
      <c r="C34" s="175">
        <v>84735.21</v>
      </c>
    </row>
    <row r="35" spans="1:3" ht="15" x14ac:dyDescent="0.25">
      <c r="A35" s="183" t="s">
        <v>133</v>
      </c>
      <c r="B35" s="184"/>
      <c r="C35" s="184"/>
    </row>
    <row r="36" spans="1:3" ht="14.25" x14ac:dyDescent="0.2">
      <c r="A36" s="173" t="s">
        <v>76</v>
      </c>
      <c r="B36" s="174" t="s">
        <v>88</v>
      </c>
      <c r="C36" s="175">
        <v>96783.69</v>
      </c>
    </row>
    <row r="37" spans="1:3" ht="14.25" x14ac:dyDescent="0.2">
      <c r="A37" s="173" t="s">
        <v>77</v>
      </c>
      <c r="B37" s="174" t="s">
        <v>88</v>
      </c>
      <c r="C37" s="175">
        <v>66769.78</v>
      </c>
    </row>
    <row r="38" spans="1:3" ht="14.25" x14ac:dyDescent="0.2">
      <c r="A38" s="173" t="s">
        <v>78</v>
      </c>
      <c r="B38" s="174" t="s">
        <v>88</v>
      </c>
      <c r="C38" s="175">
        <v>66829.83</v>
      </c>
    </row>
    <row r="39" spans="1:3" ht="14.25" x14ac:dyDescent="0.2">
      <c r="A39" s="173" t="s">
        <v>79</v>
      </c>
      <c r="B39" s="174" t="s">
        <v>88</v>
      </c>
      <c r="C39" s="175">
        <v>78533.05</v>
      </c>
    </row>
    <row r="40" spans="1:3" ht="14.25" x14ac:dyDescent="0.2">
      <c r="A40" s="173" t="s">
        <v>80</v>
      </c>
      <c r="B40" s="174" t="s">
        <v>88</v>
      </c>
      <c r="C40" s="175">
        <v>87500</v>
      </c>
    </row>
    <row r="41" spans="1:3" ht="14.25" x14ac:dyDescent="0.2">
      <c r="A41" s="173" t="s">
        <v>81</v>
      </c>
      <c r="B41" s="174" t="s">
        <v>88</v>
      </c>
      <c r="C41" s="175">
        <v>42529.81</v>
      </c>
    </row>
    <row r="42" spans="1:3" ht="14.25" x14ac:dyDescent="0.2">
      <c r="A42" s="173" t="s">
        <v>82</v>
      </c>
      <c r="B42" s="174" t="s">
        <v>88</v>
      </c>
      <c r="C42" s="175">
        <v>61311.38</v>
      </c>
    </row>
    <row r="43" spans="1:3" ht="15" x14ac:dyDescent="0.25">
      <c r="A43" s="183" t="s">
        <v>134</v>
      </c>
      <c r="B43" s="184"/>
      <c r="C43" s="184"/>
    </row>
    <row r="44" spans="1:3" ht="14.25" x14ac:dyDescent="0.2">
      <c r="A44" s="173" t="s">
        <v>83</v>
      </c>
      <c r="B44" s="174" t="s">
        <v>88</v>
      </c>
      <c r="C44" s="175">
        <v>46232.29</v>
      </c>
    </row>
    <row r="45" spans="1:3" ht="14.25" x14ac:dyDescent="0.2">
      <c r="A45" s="173" t="s">
        <v>84</v>
      </c>
      <c r="B45" s="174" t="s">
        <v>88</v>
      </c>
      <c r="C45" s="175">
        <v>89207.27</v>
      </c>
    </row>
  </sheetData>
  <mergeCells count="6">
    <mergeCell ref="A35:C35"/>
    <mergeCell ref="A43:C43"/>
    <mergeCell ref="A5:C5"/>
    <mergeCell ref="A13:C13"/>
    <mergeCell ref="A16:C16"/>
    <mergeCell ref="A20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6030-60A0-45E2-AE47-51B85353A035}">
  <dimension ref="A1:C35"/>
  <sheetViews>
    <sheetView workbookViewId="0">
      <selection sqref="A1:XFD1048576"/>
    </sheetView>
  </sheetViews>
  <sheetFormatPr defaultRowHeight="12.75" x14ac:dyDescent="0.2"/>
  <cols>
    <col min="1" max="1" width="36.5" bestFit="1" customWidth="1"/>
    <col min="2" max="2" width="11.875" bestFit="1" customWidth="1"/>
    <col min="3" max="3" width="10.875" bestFit="1" customWidth="1"/>
  </cols>
  <sheetData>
    <row r="1" spans="1:3" ht="30" x14ac:dyDescent="0.4">
      <c r="A1" t="s">
        <v>135</v>
      </c>
    </row>
    <row r="2" spans="1:3" ht="15" x14ac:dyDescent="0.2">
      <c r="A2" s="130" t="s">
        <v>159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136</v>
      </c>
      <c r="B5" s="184"/>
      <c r="C5" s="184"/>
    </row>
    <row r="6" spans="1:3" ht="14.25" x14ac:dyDescent="0.2">
      <c r="A6" s="173" t="s">
        <v>37</v>
      </c>
      <c r="B6" s="174">
        <v>3582</v>
      </c>
      <c r="C6" s="175">
        <v>100</v>
      </c>
    </row>
    <row r="7" spans="1:3" ht="14.25" x14ac:dyDescent="0.2">
      <c r="A7" s="173" t="s">
        <v>38</v>
      </c>
      <c r="B7" s="174">
        <v>1577</v>
      </c>
      <c r="C7" s="175">
        <v>100</v>
      </c>
    </row>
    <row r="8" spans="1:3" ht="14.25" x14ac:dyDescent="0.2">
      <c r="A8" s="173" t="s">
        <v>39</v>
      </c>
      <c r="B8" s="174">
        <v>907</v>
      </c>
      <c r="C8" s="175">
        <v>100</v>
      </c>
    </row>
    <row r="9" spans="1:3" ht="14.25" x14ac:dyDescent="0.2">
      <c r="A9" s="173" t="s">
        <v>40</v>
      </c>
      <c r="B9" s="174">
        <v>3</v>
      </c>
      <c r="C9" s="175">
        <v>0.08</v>
      </c>
    </row>
    <row r="10" spans="1:3" ht="14.25" x14ac:dyDescent="0.2">
      <c r="A10" s="173" t="s">
        <v>41</v>
      </c>
      <c r="B10" s="174">
        <v>1715</v>
      </c>
      <c r="C10" s="175">
        <v>100</v>
      </c>
    </row>
    <row r="11" spans="1:3" ht="15" x14ac:dyDescent="0.25">
      <c r="A11" s="183" t="s">
        <v>137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2.27</v>
      </c>
    </row>
    <row r="13" spans="1:3" ht="15" x14ac:dyDescent="0.25">
      <c r="A13" s="183" t="s">
        <v>138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39.619999999999997</v>
      </c>
    </row>
    <row r="15" spans="1:3" ht="15" x14ac:dyDescent="0.25">
      <c r="A15" s="183" t="s">
        <v>139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84735.21</v>
      </c>
    </row>
    <row r="17" spans="1:3" ht="15" x14ac:dyDescent="0.25">
      <c r="A17" s="183" t="s">
        <v>140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456584.46</v>
      </c>
    </row>
    <row r="19" spans="1:3" ht="15" x14ac:dyDescent="0.25">
      <c r="A19" s="183" t="s">
        <v>141</v>
      </c>
      <c r="B19" s="184"/>
      <c r="C19" s="184"/>
    </row>
    <row r="20" spans="1:3" ht="14.25" x14ac:dyDescent="0.2">
      <c r="A20" s="173" t="s">
        <v>42</v>
      </c>
      <c r="B20" s="174">
        <v>88</v>
      </c>
      <c r="C20" s="175">
        <v>5.58</v>
      </c>
    </row>
    <row r="21" spans="1:3" ht="14.25" x14ac:dyDescent="0.2">
      <c r="A21" s="173" t="s">
        <v>43</v>
      </c>
      <c r="B21" s="174">
        <v>40</v>
      </c>
      <c r="C21" s="175">
        <v>2.54</v>
      </c>
    </row>
    <row r="22" spans="1:3" ht="14.25" x14ac:dyDescent="0.2">
      <c r="A22" s="173" t="s">
        <v>44</v>
      </c>
      <c r="B22" s="174">
        <v>130</v>
      </c>
      <c r="C22" s="175">
        <v>8.24</v>
      </c>
    </row>
    <row r="23" spans="1:3" ht="14.25" x14ac:dyDescent="0.2">
      <c r="A23" s="173" t="s">
        <v>45</v>
      </c>
      <c r="B23" s="174">
        <v>220</v>
      </c>
      <c r="C23" s="175">
        <v>13.95</v>
      </c>
    </row>
    <row r="24" spans="1:3" ht="14.25" x14ac:dyDescent="0.2">
      <c r="A24" s="173" t="s">
        <v>46</v>
      </c>
      <c r="B24" s="174">
        <v>360</v>
      </c>
      <c r="C24" s="175">
        <v>22.83</v>
      </c>
    </row>
    <row r="25" spans="1:3" ht="14.25" x14ac:dyDescent="0.2">
      <c r="A25" s="173" t="s">
        <v>47</v>
      </c>
      <c r="B25" s="174">
        <v>296</v>
      </c>
      <c r="C25" s="175">
        <v>18.77</v>
      </c>
    </row>
    <row r="26" spans="1:3" ht="14.25" x14ac:dyDescent="0.2">
      <c r="A26" s="173" t="s">
        <v>48</v>
      </c>
      <c r="B26" s="174">
        <v>129</v>
      </c>
      <c r="C26" s="175">
        <v>8.18</v>
      </c>
    </row>
    <row r="27" spans="1:3" ht="14.25" x14ac:dyDescent="0.2">
      <c r="A27" s="173" t="s">
        <v>49</v>
      </c>
      <c r="B27" s="174">
        <v>91</v>
      </c>
      <c r="C27" s="175">
        <v>5.77</v>
      </c>
    </row>
    <row r="28" spans="1:3" ht="14.25" x14ac:dyDescent="0.2">
      <c r="A28" s="173" t="s">
        <v>50</v>
      </c>
      <c r="B28" s="174">
        <v>95</v>
      </c>
      <c r="C28" s="175">
        <v>6.02</v>
      </c>
    </row>
    <row r="29" spans="1:3" ht="14.25" x14ac:dyDescent="0.2">
      <c r="A29" s="173" t="s">
        <v>51</v>
      </c>
      <c r="B29" s="174">
        <v>24</v>
      </c>
      <c r="C29" s="175">
        <v>1.52</v>
      </c>
    </row>
    <row r="30" spans="1:3" ht="14.25" x14ac:dyDescent="0.2">
      <c r="A30" s="173" t="s">
        <v>52</v>
      </c>
      <c r="B30" s="174">
        <v>79</v>
      </c>
      <c r="C30" s="175">
        <v>5.01</v>
      </c>
    </row>
    <row r="31" spans="1:3" ht="14.25" x14ac:dyDescent="0.2">
      <c r="A31" s="173" t="s">
        <v>53</v>
      </c>
      <c r="B31" s="174">
        <v>25</v>
      </c>
      <c r="C31" s="175">
        <v>1.58</v>
      </c>
    </row>
    <row r="32" spans="1:3" ht="15" x14ac:dyDescent="0.25">
      <c r="A32" s="183" t="s">
        <v>142</v>
      </c>
      <c r="B32" s="184"/>
      <c r="C32" s="184"/>
    </row>
    <row r="33" spans="1:3" ht="14.25" x14ac:dyDescent="0.2">
      <c r="A33" s="173" t="s">
        <v>95</v>
      </c>
      <c r="B33" s="174" t="s">
        <v>88</v>
      </c>
      <c r="C33" s="175">
        <v>97427</v>
      </c>
    </row>
    <row r="34" spans="1:3" ht="14.25" x14ac:dyDescent="0.2">
      <c r="A34" s="173" t="s">
        <v>96</v>
      </c>
      <c r="B34" s="174" t="s">
        <v>88</v>
      </c>
      <c r="C34" s="175">
        <v>71351.990000000005</v>
      </c>
    </row>
    <row r="35" spans="1:3" ht="14.25" x14ac:dyDescent="0.2">
      <c r="A35" s="173" t="s">
        <v>97</v>
      </c>
      <c r="B35" s="174">
        <v>153645098</v>
      </c>
      <c r="C35" s="175">
        <v>97428.72</v>
      </c>
    </row>
  </sheetData>
  <mergeCells count="7">
    <mergeCell ref="A19:C19"/>
    <mergeCell ref="A32:C32"/>
    <mergeCell ref="A5:C5"/>
    <mergeCell ref="A11:C11"/>
    <mergeCell ref="A13:C13"/>
    <mergeCell ref="A15:C15"/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C86E-370B-4043-A34B-2552DC6D6D51}">
  <dimension ref="A1:C35"/>
  <sheetViews>
    <sheetView workbookViewId="0">
      <selection sqref="A1:XFD1048576"/>
    </sheetView>
  </sheetViews>
  <sheetFormatPr defaultRowHeight="12.75" x14ac:dyDescent="0.2"/>
  <cols>
    <col min="1" max="1" width="39.375" bestFit="1" customWidth="1"/>
    <col min="2" max="2" width="11.875" bestFit="1" customWidth="1"/>
    <col min="3" max="3" width="10.875" bestFit="1" customWidth="1"/>
  </cols>
  <sheetData>
    <row r="1" spans="1:3" ht="30" x14ac:dyDescent="0.4">
      <c r="A1" t="s">
        <v>143</v>
      </c>
    </row>
    <row r="2" spans="1:3" ht="15" x14ac:dyDescent="0.2">
      <c r="A2" s="130" t="s">
        <v>159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144</v>
      </c>
      <c r="B5" s="184"/>
      <c r="C5" s="184"/>
    </row>
    <row r="6" spans="1:3" ht="14.25" x14ac:dyDescent="0.2">
      <c r="A6" s="173" t="s">
        <v>37</v>
      </c>
      <c r="B6" s="174">
        <v>3498</v>
      </c>
      <c r="C6" s="175">
        <v>100</v>
      </c>
    </row>
    <row r="7" spans="1:3" ht="14.25" x14ac:dyDescent="0.2">
      <c r="A7" s="173" t="s">
        <v>38</v>
      </c>
      <c r="B7" s="174">
        <v>1539</v>
      </c>
      <c r="C7" s="175">
        <v>100</v>
      </c>
    </row>
    <row r="8" spans="1:3" ht="14.25" x14ac:dyDescent="0.2">
      <c r="A8" s="173" t="s">
        <v>39</v>
      </c>
      <c r="B8" s="174">
        <v>889</v>
      </c>
      <c r="C8" s="175">
        <v>100</v>
      </c>
    </row>
    <row r="9" spans="1:3" ht="14.25" x14ac:dyDescent="0.2">
      <c r="A9" s="173" t="s">
        <v>40</v>
      </c>
      <c r="B9" s="174">
        <v>3</v>
      </c>
      <c r="C9" s="175">
        <v>0.09</v>
      </c>
    </row>
    <row r="10" spans="1:3" ht="14.25" x14ac:dyDescent="0.2">
      <c r="A10" s="173" t="s">
        <v>41</v>
      </c>
      <c r="B10" s="174">
        <v>1704</v>
      </c>
      <c r="C10" s="175">
        <v>100</v>
      </c>
    </row>
    <row r="11" spans="1:3" ht="15" x14ac:dyDescent="0.25">
      <c r="A11" s="183" t="s">
        <v>145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2.27</v>
      </c>
    </row>
    <row r="13" spans="1:3" ht="15" x14ac:dyDescent="0.25">
      <c r="A13" s="183" t="s">
        <v>146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40.880000000000003</v>
      </c>
    </row>
    <row r="15" spans="1:3" ht="15" x14ac:dyDescent="0.25">
      <c r="A15" s="183" t="s">
        <v>147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90202.44</v>
      </c>
    </row>
    <row r="17" spans="1:3" ht="15" x14ac:dyDescent="0.25">
      <c r="A17" s="183" t="s">
        <v>148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554623.35</v>
      </c>
    </row>
    <row r="19" spans="1:3" ht="15" x14ac:dyDescent="0.25">
      <c r="A19" s="183" t="s">
        <v>149</v>
      </c>
      <c r="B19" s="184"/>
      <c r="C19" s="184"/>
    </row>
    <row r="20" spans="1:3" ht="14.25" x14ac:dyDescent="0.2">
      <c r="A20" s="173" t="s">
        <v>54</v>
      </c>
      <c r="B20" s="174">
        <v>82</v>
      </c>
      <c r="C20" s="175">
        <v>5.33</v>
      </c>
    </row>
    <row r="21" spans="1:3" ht="14.25" x14ac:dyDescent="0.2">
      <c r="A21" s="173" t="s">
        <v>55</v>
      </c>
      <c r="B21" s="174">
        <v>34</v>
      </c>
      <c r="C21" s="175">
        <v>2.21</v>
      </c>
    </row>
    <row r="22" spans="1:3" ht="14.25" x14ac:dyDescent="0.2">
      <c r="A22" s="173" t="s">
        <v>56</v>
      </c>
      <c r="B22" s="174">
        <v>112</v>
      </c>
      <c r="C22" s="175">
        <v>7.28</v>
      </c>
    </row>
    <row r="23" spans="1:3" ht="14.25" x14ac:dyDescent="0.2">
      <c r="A23" s="173" t="s">
        <v>57</v>
      </c>
      <c r="B23" s="174">
        <v>196</v>
      </c>
      <c r="C23" s="175">
        <v>12.74</v>
      </c>
    </row>
    <row r="24" spans="1:3" ht="14.25" x14ac:dyDescent="0.2">
      <c r="A24" s="173" t="s">
        <v>58</v>
      </c>
      <c r="B24" s="174">
        <v>330</v>
      </c>
      <c r="C24" s="175">
        <v>21.44</v>
      </c>
    </row>
    <row r="25" spans="1:3" ht="14.25" x14ac:dyDescent="0.2">
      <c r="A25" s="173" t="s">
        <v>59</v>
      </c>
      <c r="B25" s="174">
        <v>286</v>
      </c>
      <c r="C25" s="175">
        <v>18.579999999999998</v>
      </c>
    </row>
    <row r="26" spans="1:3" ht="14.25" x14ac:dyDescent="0.2">
      <c r="A26" s="173" t="s">
        <v>60</v>
      </c>
      <c r="B26" s="174">
        <v>137</v>
      </c>
      <c r="C26" s="175">
        <v>8.9</v>
      </c>
    </row>
    <row r="27" spans="1:3" ht="14.25" x14ac:dyDescent="0.2">
      <c r="A27" s="173" t="s">
        <v>61</v>
      </c>
      <c r="B27" s="174">
        <v>89</v>
      </c>
      <c r="C27" s="175">
        <v>5.78</v>
      </c>
    </row>
    <row r="28" spans="1:3" ht="14.25" x14ac:dyDescent="0.2">
      <c r="A28" s="173" t="s">
        <v>62</v>
      </c>
      <c r="B28" s="174">
        <v>111</v>
      </c>
      <c r="C28" s="175">
        <v>7.21</v>
      </c>
    </row>
    <row r="29" spans="1:3" ht="14.25" x14ac:dyDescent="0.2">
      <c r="A29" s="173" t="s">
        <v>63</v>
      </c>
      <c r="B29" s="174">
        <v>30</v>
      </c>
      <c r="C29" s="175">
        <v>1.95</v>
      </c>
    </row>
    <row r="30" spans="1:3" ht="14.25" x14ac:dyDescent="0.2">
      <c r="A30" s="173" t="s">
        <v>64</v>
      </c>
      <c r="B30" s="174">
        <v>97</v>
      </c>
      <c r="C30" s="175">
        <v>6.3</v>
      </c>
    </row>
    <row r="31" spans="1:3" ht="14.25" x14ac:dyDescent="0.2">
      <c r="A31" s="173" t="s">
        <v>65</v>
      </c>
      <c r="B31" s="174">
        <v>34</v>
      </c>
      <c r="C31" s="175">
        <v>2.21</v>
      </c>
    </row>
    <row r="32" spans="1:3" ht="15" x14ac:dyDescent="0.25">
      <c r="A32" s="183" t="s">
        <v>150</v>
      </c>
      <c r="B32" s="184"/>
      <c r="C32" s="184"/>
    </row>
    <row r="33" spans="1:3" ht="14.25" x14ac:dyDescent="0.2">
      <c r="A33" s="173" t="s">
        <v>115</v>
      </c>
      <c r="B33" s="174" t="s">
        <v>88</v>
      </c>
      <c r="C33" s="175">
        <v>106730</v>
      </c>
    </row>
    <row r="34" spans="1:3" ht="14.25" x14ac:dyDescent="0.2">
      <c r="A34" s="173" t="s">
        <v>114</v>
      </c>
      <c r="B34" s="174" t="s">
        <v>88</v>
      </c>
      <c r="C34" s="175">
        <v>76165.539999999994</v>
      </c>
    </row>
    <row r="35" spans="1:3" ht="14.25" x14ac:dyDescent="0.2">
      <c r="A35" s="173" t="s">
        <v>116</v>
      </c>
      <c r="B35" s="174">
        <v>165221221</v>
      </c>
      <c r="C35" s="175">
        <v>107356.22</v>
      </c>
    </row>
  </sheetData>
  <mergeCells count="7">
    <mergeCell ref="A19:C19"/>
    <mergeCell ref="A32:C32"/>
    <mergeCell ref="A5:C5"/>
    <mergeCell ref="A11:C11"/>
    <mergeCell ref="A13:C13"/>
    <mergeCell ref="A15:C15"/>
    <mergeCell ref="A17:C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E4D1-A7CC-409E-844D-0937479CC1E7}">
  <sheetPr>
    <tabColor rgb="FFFFFF00"/>
  </sheetPr>
  <dimension ref="A1:Q35"/>
  <sheetViews>
    <sheetView workbookViewId="0">
      <selection sqref="A1:XFD1048576"/>
    </sheetView>
  </sheetViews>
  <sheetFormatPr defaultRowHeight="12.75" x14ac:dyDescent="0.2"/>
  <cols>
    <col min="1" max="1" width="25.125" bestFit="1" customWidth="1"/>
    <col min="2" max="2" width="5.375" bestFit="1" customWidth="1"/>
    <col min="3" max="3" width="9.875" bestFit="1" customWidth="1"/>
    <col min="4" max="4" width="5.375" bestFit="1" customWidth="1"/>
    <col min="5" max="5" width="9.875" bestFit="1" customWidth="1"/>
    <col min="6" max="6" width="5.375" bestFit="1" customWidth="1"/>
    <col min="7" max="7" width="10.875" bestFit="1" customWidth="1"/>
    <col min="8" max="8" width="5.375" bestFit="1" customWidth="1"/>
    <col min="9" max="9" width="10.875" bestFit="1" customWidth="1"/>
    <col min="10" max="10" width="5.375" bestFit="1" customWidth="1"/>
    <col min="11" max="11" width="10.75" bestFit="1" customWidth="1"/>
    <col min="12" max="12" width="5.375" bestFit="1" customWidth="1"/>
    <col min="13" max="13" width="10.875" bestFit="1" customWidth="1"/>
    <col min="14" max="14" width="5.375" bestFit="1" customWidth="1"/>
    <col min="15" max="15" width="10.875" bestFit="1" customWidth="1"/>
    <col min="16" max="16" width="5.375" bestFit="1" customWidth="1"/>
    <col min="17" max="17" width="10.875" bestFit="1" customWidth="1"/>
  </cols>
  <sheetData>
    <row r="1" spans="1:17" ht="30" x14ac:dyDescent="0.4">
      <c r="A1" t="s">
        <v>151</v>
      </c>
    </row>
    <row r="2" spans="1:17" ht="15" x14ac:dyDescent="0.2">
      <c r="A2" s="130" t="s">
        <v>159</v>
      </c>
    </row>
    <row r="3" spans="1:17" ht="15" x14ac:dyDescent="0.2">
      <c r="A3" s="130" t="s">
        <v>108</v>
      </c>
    </row>
    <row r="4" spans="1:17" ht="14.25" x14ac:dyDescent="0.2">
      <c r="A4" s="176"/>
      <c r="B4" s="185" t="s">
        <v>98</v>
      </c>
      <c r="C4" s="184"/>
      <c r="D4" s="185" t="s">
        <v>99</v>
      </c>
      <c r="E4" s="184"/>
      <c r="F4" s="185" t="s">
        <v>100</v>
      </c>
      <c r="G4" s="184"/>
      <c r="H4" s="185" t="s">
        <v>101</v>
      </c>
      <c r="I4" s="184"/>
      <c r="J4" s="185" t="s">
        <v>102</v>
      </c>
      <c r="K4" s="184"/>
      <c r="L4" s="185" t="s">
        <v>103</v>
      </c>
      <c r="M4" s="184"/>
      <c r="N4" s="185" t="s">
        <v>104</v>
      </c>
      <c r="O4" s="184"/>
      <c r="P4" s="185" t="s">
        <v>24</v>
      </c>
      <c r="Q4" s="184"/>
    </row>
    <row r="5" spans="1:17" ht="14.25" x14ac:dyDescent="0.2">
      <c r="A5" s="171"/>
      <c r="B5" s="172" t="s">
        <v>109</v>
      </c>
      <c r="C5" s="172" t="s">
        <v>35</v>
      </c>
      <c r="D5" s="172" t="s">
        <v>109</v>
      </c>
      <c r="E5" s="172" t="s">
        <v>35</v>
      </c>
      <c r="F5" s="172" t="s">
        <v>109</v>
      </c>
      <c r="G5" s="172" t="s">
        <v>35</v>
      </c>
      <c r="H5" s="172" t="s">
        <v>109</v>
      </c>
      <c r="I5" s="172" t="s">
        <v>35</v>
      </c>
      <c r="J5" s="172" t="s">
        <v>109</v>
      </c>
      <c r="K5" s="172" t="s">
        <v>35</v>
      </c>
      <c r="L5" s="172" t="s">
        <v>109</v>
      </c>
      <c r="M5" s="172" t="s">
        <v>35</v>
      </c>
      <c r="N5" s="172" t="s">
        <v>109</v>
      </c>
      <c r="O5" s="172" t="s">
        <v>35</v>
      </c>
      <c r="P5" s="172" t="s">
        <v>109</v>
      </c>
      <c r="Q5" s="172" t="s">
        <v>35</v>
      </c>
    </row>
    <row r="6" spans="1:17" ht="15" x14ac:dyDescent="0.25">
      <c r="A6" s="183" t="s">
        <v>152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4.25" x14ac:dyDescent="0.2">
      <c r="A7" s="173" t="s">
        <v>25</v>
      </c>
      <c r="B7" s="174">
        <v>87</v>
      </c>
      <c r="C7" s="175">
        <v>5.52</v>
      </c>
      <c r="D7" s="174">
        <v>271</v>
      </c>
      <c r="E7" s="175">
        <v>17.18</v>
      </c>
      <c r="F7" s="174">
        <v>285</v>
      </c>
      <c r="G7" s="175">
        <v>18.07</v>
      </c>
      <c r="H7" s="174">
        <v>226</v>
      </c>
      <c r="I7" s="175">
        <v>14.33</v>
      </c>
      <c r="J7" s="174">
        <v>252</v>
      </c>
      <c r="K7" s="175">
        <v>15.98</v>
      </c>
      <c r="L7" s="174">
        <v>236</v>
      </c>
      <c r="M7" s="175">
        <v>14.96</v>
      </c>
      <c r="N7" s="174">
        <v>168</v>
      </c>
      <c r="O7" s="175">
        <v>10.65</v>
      </c>
      <c r="P7" s="174">
        <v>52</v>
      </c>
      <c r="Q7" s="175">
        <v>3.3</v>
      </c>
    </row>
    <row r="8" spans="1:17" ht="15" x14ac:dyDescent="0.25">
      <c r="A8" s="183" t="s">
        <v>153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14.25" x14ac:dyDescent="0.2">
      <c r="A9" s="173" t="s">
        <v>110</v>
      </c>
      <c r="B9" s="174">
        <v>19</v>
      </c>
      <c r="C9" s="175">
        <v>21.84</v>
      </c>
      <c r="D9" s="174">
        <v>5</v>
      </c>
      <c r="E9" s="175">
        <v>1.84</v>
      </c>
      <c r="F9" s="174">
        <v>4</v>
      </c>
      <c r="G9" s="175">
        <v>1.4</v>
      </c>
      <c r="H9" s="174">
        <v>1</v>
      </c>
      <c r="I9" s="175">
        <v>0.44</v>
      </c>
      <c r="J9" s="174">
        <v>4</v>
      </c>
      <c r="K9" s="175">
        <v>1.59</v>
      </c>
      <c r="L9" s="174">
        <v>22</v>
      </c>
      <c r="M9" s="175">
        <v>9.32</v>
      </c>
      <c r="N9" s="174">
        <v>26</v>
      </c>
      <c r="O9" s="175">
        <v>15.48</v>
      </c>
      <c r="P9" s="174">
        <v>9</v>
      </c>
      <c r="Q9" s="175">
        <v>17.309999999999999</v>
      </c>
    </row>
    <row r="10" spans="1:17" ht="14.25" x14ac:dyDescent="0.2">
      <c r="A10" s="173" t="s">
        <v>26</v>
      </c>
      <c r="B10" s="174">
        <v>12</v>
      </c>
      <c r="C10" s="175">
        <v>13.79</v>
      </c>
      <c r="D10" s="174">
        <v>7</v>
      </c>
      <c r="E10" s="175">
        <v>2.58</v>
      </c>
      <c r="F10" s="174">
        <v>6</v>
      </c>
      <c r="G10" s="175">
        <v>2.1</v>
      </c>
      <c r="H10" s="174">
        <v>4</v>
      </c>
      <c r="I10" s="175">
        <v>1.77</v>
      </c>
      <c r="J10" s="174">
        <v>3</v>
      </c>
      <c r="K10" s="175">
        <v>1.19</v>
      </c>
      <c r="L10" s="174">
        <v>2</v>
      </c>
      <c r="M10" s="175">
        <v>0.85</v>
      </c>
      <c r="N10" s="174">
        <v>2</v>
      </c>
      <c r="O10" s="175">
        <v>1.19</v>
      </c>
      <c r="P10" s="174">
        <v>1</v>
      </c>
      <c r="Q10" s="175">
        <v>1.92</v>
      </c>
    </row>
    <row r="11" spans="1:17" ht="14.25" x14ac:dyDescent="0.2">
      <c r="A11" s="173" t="s">
        <v>27</v>
      </c>
      <c r="B11" s="174">
        <v>1</v>
      </c>
      <c r="C11" s="175">
        <v>1.1499999999999999</v>
      </c>
      <c r="D11" s="174">
        <v>43</v>
      </c>
      <c r="E11" s="175">
        <v>15.87</v>
      </c>
      <c r="F11" s="174">
        <v>39</v>
      </c>
      <c r="G11" s="175">
        <v>13.68</v>
      </c>
      <c r="H11" s="174">
        <v>4</v>
      </c>
      <c r="I11" s="175">
        <v>1.77</v>
      </c>
      <c r="J11" s="174">
        <v>7</v>
      </c>
      <c r="K11" s="175">
        <v>2.78</v>
      </c>
      <c r="L11" s="174">
        <v>8</v>
      </c>
      <c r="M11" s="175">
        <v>3.39</v>
      </c>
      <c r="N11" s="174">
        <v>8</v>
      </c>
      <c r="O11" s="175">
        <v>4.76</v>
      </c>
      <c r="P11" s="174">
        <v>5</v>
      </c>
      <c r="Q11" s="175">
        <v>9.6199999999999992</v>
      </c>
    </row>
    <row r="12" spans="1:17" ht="14.25" x14ac:dyDescent="0.2">
      <c r="A12" s="173" t="s">
        <v>28</v>
      </c>
      <c r="B12" s="174">
        <v>7</v>
      </c>
      <c r="C12" s="175">
        <v>8.0500000000000007</v>
      </c>
      <c r="D12" s="174">
        <v>39</v>
      </c>
      <c r="E12" s="175">
        <v>14.39</v>
      </c>
      <c r="F12" s="174">
        <v>33</v>
      </c>
      <c r="G12" s="175">
        <v>11.58</v>
      </c>
      <c r="H12" s="174">
        <v>41</v>
      </c>
      <c r="I12" s="175">
        <v>18.14</v>
      </c>
      <c r="J12" s="174">
        <v>46</v>
      </c>
      <c r="K12" s="175">
        <v>18.25</v>
      </c>
      <c r="L12" s="174">
        <v>2</v>
      </c>
      <c r="M12" s="175">
        <v>0.85</v>
      </c>
      <c r="N12" s="174">
        <v>1</v>
      </c>
      <c r="O12" s="175">
        <v>0.59</v>
      </c>
      <c r="P12" s="174">
        <v>2</v>
      </c>
      <c r="Q12" s="175">
        <v>3.85</v>
      </c>
    </row>
    <row r="13" spans="1:17" ht="14.25" x14ac:dyDescent="0.2">
      <c r="A13" s="173" t="s">
        <v>29</v>
      </c>
      <c r="B13" s="174">
        <v>45</v>
      </c>
      <c r="C13" s="175">
        <v>51.72</v>
      </c>
      <c r="D13" s="174">
        <v>54</v>
      </c>
      <c r="E13" s="175">
        <v>19.93</v>
      </c>
      <c r="F13" s="174">
        <v>49</v>
      </c>
      <c r="G13" s="175">
        <v>17.190000000000001</v>
      </c>
      <c r="H13" s="174">
        <v>33</v>
      </c>
      <c r="I13" s="175">
        <v>14.6</v>
      </c>
      <c r="J13" s="174">
        <v>43</v>
      </c>
      <c r="K13" s="175">
        <v>17.059999999999999</v>
      </c>
      <c r="L13" s="174">
        <v>17</v>
      </c>
      <c r="M13" s="175">
        <v>7.2</v>
      </c>
      <c r="N13" s="174">
        <v>15</v>
      </c>
      <c r="O13" s="175">
        <v>8.93</v>
      </c>
      <c r="P13" s="174">
        <v>2</v>
      </c>
      <c r="Q13" s="175">
        <v>3.85</v>
      </c>
    </row>
    <row r="14" spans="1:17" ht="14.25" x14ac:dyDescent="0.2">
      <c r="A14" s="173" t="s">
        <v>30</v>
      </c>
      <c r="B14" s="174">
        <v>0</v>
      </c>
      <c r="C14" s="175">
        <v>0</v>
      </c>
      <c r="D14" s="174">
        <v>22</v>
      </c>
      <c r="E14" s="175">
        <v>8.1199999999999992</v>
      </c>
      <c r="F14" s="174">
        <v>25</v>
      </c>
      <c r="G14" s="175">
        <v>8.77</v>
      </c>
      <c r="H14" s="174">
        <v>37</v>
      </c>
      <c r="I14" s="175">
        <v>16.37</v>
      </c>
      <c r="J14" s="174">
        <v>47</v>
      </c>
      <c r="K14" s="175">
        <v>18.649999999999999</v>
      </c>
      <c r="L14" s="174">
        <v>91</v>
      </c>
      <c r="M14" s="175">
        <v>38.56</v>
      </c>
      <c r="N14" s="174">
        <v>56</v>
      </c>
      <c r="O14" s="175">
        <v>33.33</v>
      </c>
      <c r="P14" s="174">
        <v>16</v>
      </c>
      <c r="Q14" s="175">
        <v>30.77</v>
      </c>
    </row>
    <row r="15" spans="1:17" ht="14.25" x14ac:dyDescent="0.2">
      <c r="A15" s="173" t="s">
        <v>31</v>
      </c>
      <c r="B15" s="174">
        <v>3</v>
      </c>
      <c r="C15" s="175">
        <v>3.45</v>
      </c>
      <c r="D15" s="174">
        <v>62</v>
      </c>
      <c r="E15" s="175">
        <v>22.88</v>
      </c>
      <c r="F15" s="174">
        <v>66</v>
      </c>
      <c r="G15" s="175">
        <v>23.16</v>
      </c>
      <c r="H15" s="174">
        <v>6</v>
      </c>
      <c r="I15" s="175">
        <v>2.65</v>
      </c>
      <c r="J15" s="174">
        <v>7</v>
      </c>
      <c r="K15" s="175">
        <v>2.78</v>
      </c>
      <c r="L15" s="174">
        <v>23</v>
      </c>
      <c r="M15" s="175">
        <v>9.75</v>
      </c>
      <c r="N15" s="174">
        <v>14</v>
      </c>
      <c r="O15" s="175">
        <v>8.33</v>
      </c>
      <c r="P15" s="174">
        <v>3</v>
      </c>
      <c r="Q15" s="175">
        <v>5.77</v>
      </c>
    </row>
    <row r="16" spans="1:17" ht="14.25" x14ac:dyDescent="0.2">
      <c r="A16" s="173" t="s">
        <v>32</v>
      </c>
      <c r="B16" s="174">
        <v>0</v>
      </c>
      <c r="C16" s="175">
        <v>0</v>
      </c>
      <c r="D16" s="174">
        <v>14</v>
      </c>
      <c r="E16" s="175">
        <v>5.17</v>
      </c>
      <c r="F16" s="174">
        <v>20</v>
      </c>
      <c r="G16" s="175">
        <v>7.02</v>
      </c>
      <c r="H16" s="174">
        <v>18</v>
      </c>
      <c r="I16" s="175">
        <v>7.96</v>
      </c>
      <c r="J16" s="174">
        <v>20</v>
      </c>
      <c r="K16" s="175">
        <v>7.94</v>
      </c>
      <c r="L16" s="174">
        <v>11</v>
      </c>
      <c r="M16" s="175">
        <v>4.66</v>
      </c>
      <c r="N16" s="174">
        <v>8</v>
      </c>
      <c r="O16" s="175">
        <v>4.76</v>
      </c>
      <c r="P16" s="174">
        <v>2</v>
      </c>
      <c r="Q16" s="175">
        <v>3.85</v>
      </c>
    </row>
    <row r="17" spans="1:17" ht="14.25" x14ac:dyDescent="0.2">
      <c r="A17" s="173" t="s">
        <v>33</v>
      </c>
      <c r="B17" s="174">
        <v>0</v>
      </c>
      <c r="C17" s="175">
        <v>0</v>
      </c>
      <c r="D17" s="174">
        <v>21</v>
      </c>
      <c r="E17" s="175">
        <v>7.75</v>
      </c>
      <c r="F17" s="174">
        <v>36</v>
      </c>
      <c r="G17" s="175">
        <v>12.63</v>
      </c>
      <c r="H17" s="174">
        <v>27</v>
      </c>
      <c r="I17" s="175">
        <v>11.95</v>
      </c>
      <c r="J17" s="174">
        <v>30</v>
      </c>
      <c r="K17" s="175">
        <v>11.9</v>
      </c>
      <c r="L17" s="174">
        <v>8</v>
      </c>
      <c r="M17" s="175">
        <v>3.39</v>
      </c>
      <c r="N17" s="174">
        <v>5</v>
      </c>
      <c r="O17" s="175">
        <v>2.98</v>
      </c>
      <c r="P17" s="174">
        <v>3</v>
      </c>
      <c r="Q17" s="175">
        <v>5.77</v>
      </c>
    </row>
    <row r="18" spans="1:17" ht="14.25" x14ac:dyDescent="0.2">
      <c r="A18" s="173" t="s">
        <v>111</v>
      </c>
      <c r="B18" s="174">
        <v>0</v>
      </c>
      <c r="C18" s="175">
        <v>0</v>
      </c>
      <c r="D18" s="174">
        <v>3</v>
      </c>
      <c r="E18" s="175">
        <v>1.1100000000000001</v>
      </c>
      <c r="F18" s="174">
        <v>8</v>
      </c>
      <c r="G18" s="175">
        <v>2.81</v>
      </c>
      <c r="H18" s="174">
        <v>55</v>
      </c>
      <c r="I18" s="175">
        <v>24.34</v>
      </c>
      <c r="J18" s="174">
        <v>46</v>
      </c>
      <c r="K18" s="175">
        <v>18.25</v>
      </c>
      <c r="L18" s="174">
        <v>51</v>
      </c>
      <c r="M18" s="175">
        <v>21.61</v>
      </c>
      <c r="N18" s="174">
        <v>32</v>
      </c>
      <c r="O18" s="175">
        <v>19.05</v>
      </c>
      <c r="P18" s="174">
        <v>10</v>
      </c>
      <c r="Q18" s="175">
        <v>19.23</v>
      </c>
    </row>
    <row r="19" spans="1:17" ht="14.25" x14ac:dyDescent="0.2">
      <c r="A19" s="173" t="s">
        <v>105</v>
      </c>
      <c r="B19" s="174" t="s">
        <v>88</v>
      </c>
      <c r="C19" s="175">
        <v>53184.74</v>
      </c>
      <c r="D19" s="174" t="s">
        <v>88</v>
      </c>
      <c r="E19" s="175">
        <v>67704.97</v>
      </c>
      <c r="F19" s="174" t="s">
        <v>88</v>
      </c>
      <c r="G19" s="175">
        <v>87894.88</v>
      </c>
      <c r="H19" s="174" t="s">
        <v>88</v>
      </c>
      <c r="I19" s="175">
        <v>93897</v>
      </c>
      <c r="J19" s="174" t="s">
        <v>88</v>
      </c>
      <c r="K19" s="175">
        <v>86300.74</v>
      </c>
      <c r="L19" s="174" t="s">
        <v>88</v>
      </c>
      <c r="M19" s="175">
        <v>92642.1</v>
      </c>
      <c r="N19" s="174" t="s">
        <v>88</v>
      </c>
      <c r="O19" s="175">
        <v>88769.279999999999</v>
      </c>
      <c r="P19" s="174" t="s">
        <v>88</v>
      </c>
      <c r="Q19" s="175">
        <v>86976.4</v>
      </c>
    </row>
    <row r="20" spans="1:17" ht="14.25" x14ac:dyDescent="0.2">
      <c r="A20" s="173" t="s">
        <v>154</v>
      </c>
      <c r="B20" s="174" t="s">
        <v>88</v>
      </c>
      <c r="C20" s="175">
        <v>46688</v>
      </c>
      <c r="D20" s="174" t="s">
        <v>88</v>
      </c>
      <c r="E20" s="175">
        <v>87795</v>
      </c>
      <c r="F20" s="174" t="s">
        <v>88</v>
      </c>
      <c r="G20" s="175">
        <v>95278</v>
      </c>
      <c r="H20" s="174" t="s">
        <v>88</v>
      </c>
      <c r="I20" s="175">
        <v>123850</v>
      </c>
      <c r="J20" s="174" t="s">
        <v>88</v>
      </c>
      <c r="K20" s="175">
        <v>111262</v>
      </c>
      <c r="L20" s="174" t="s">
        <v>88</v>
      </c>
      <c r="M20" s="175">
        <v>114008</v>
      </c>
      <c r="N20" s="174" t="s">
        <v>88</v>
      </c>
      <c r="O20" s="175">
        <v>101392</v>
      </c>
      <c r="P20" s="174" t="s">
        <v>88</v>
      </c>
      <c r="Q20" s="175">
        <v>94162</v>
      </c>
    </row>
    <row r="21" spans="1:17" ht="15" x14ac:dyDescent="0.25">
      <c r="A21" s="183" t="s">
        <v>155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</row>
    <row r="22" spans="1:17" ht="14.25" x14ac:dyDescent="0.2">
      <c r="A22" s="173" t="s">
        <v>25</v>
      </c>
      <c r="B22" s="174">
        <v>64</v>
      </c>
      <c r="C22" s="175">
        <v>4.16</v>
      </c>
      <c r="D22" s="174">
        <v>256</v>
      </c>
      <c r="E22" s="175">
        <v>16.63</v>
      </c>
      <c r="F22" s="174">
        <v>293</v>
      </c>
      <c r="G22" s="175">
        <v>19.04</v>
      </c>
      <c r="H22" s="174">
        <v>235</v>
      </c>
      <c r="I22" s="175">
        <v>15.27</v>
      </c>
      <c r="J22" s="174">
        <v>215</v>
      </c>
      <c r="K22" s="175">
        <v>13.97</v>
      </c>
      <c r="L22" s="174">
        <v>226</v>
      </c>
      <c r="M22" s="175">
        <v>14.69</v>
      </c>
      <c r="N22" s="174">
        <v>195</v>
      </c>
      <c r="O22" s="175">
        <v>12.67</v>
      </c>
      <c r="P22" s="174">
        <v>55</v>
      </c>
      <c r="Q22" s="175">
        <v>3.57</v>
      </c>
    </row>
    <row r="23" spans="1:17" ht="15" x14ac:dyDescent="0.25">
      <c r="A23" s="183" t="s">
        <v>156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</row>
    <row r="24" spans="1:17" ht="14.25" x14ac:dyDescent="0.2">
      <c r="A24" s="173" t="s">
        <v>110</v>
      </c>
      <c r="B24" s="174">
        <v>9</v>
      </c>
      <c r="C24" s="175">
        <v>14.06</v>
      </c>
      <c r="D24" s="174">
        <v>8</v>
      </c>
      <c r="E24" s="175">
        <v>3.13</v>
      </c>
      <c r="F24" s="174">
        <v>5</v>
      </c>
      <c r="G24" s="175">
        <v>1.71</v>
      </c>
      <c r="H24" s="174">
        <v>1</v>
      </c>
      <c r="I24" s="175">
        <v>0.43</v>
      </c>
      <c r="J24" s="174">
        <v>5</v>
      </c>
      <c r="K24" s="175">
        <v>2.33</v>
      </c>
      <c r="L24" s="174">
        <v>18</v>
      </c>
      <c r="M24" s="175">
        <v>7.96</v>
      </c>
      <c r="N24" s="174">
        <v>29</v>
      </c>
      <c r="O24" s="175">
        <v>14.87</v>
      </c>
      <c r="P24" s="174">
        <v>10</v>
      </c>
      <c r="Q24" s="175">
        <v>18.18</v>
      </c>
    </row>
    <row r="25" spans="1:17" ht="14.25" x14ac:dyDescent="0.2">
      <c r="A25" s="173" t="s">
        <v>26</v>
      </c>
      <c r="B25" s="174">
        <v>9</v>
      </c>
      <c r="C25" s="175">
        <v>14.06</v>
      </c>
      <c r="D25" s="174">
        <v>6</v>
      </c>
      <c r="E25" s="175">
        <v>2.34</v>
      </c>
      <c r="F25" s="174">
        <v>6</v>
      </c>
      <c r="G25" s="175">
        <v>2.0499999999999998</v>
      </c>
      <c r="H25" s="174">
        <v>5</v>
      </c>
      <c r="I25" s="175">
        <v>2.13</v>
      </c>
      <c r="J25" s="174">
        <v>2</v>
      </c>
      <c r="K25" s="175">
        <v>0.93</v>
      </c>
      <c r="L25" s="174">
        <v>2</v>
      </c>
      <c r="M25" s="175">
        <v>0.89</v>
      </c>
      <c r="N25" s="174">
        <v>1</v>
      </c>
      <c r="O25" s="175">
        <v>0.51</v>
      </c>
      <c r="P25" s="174">
        <v>1</v>
      </c>
      <c r="Q25" s="175">
        <v>1.82</v>
      </c>
    </row>
    <row r="26" spans="1:17" ht="14.25" x14ac:dyDescent="0.2">
      <c r="A26" s="173" t="s">
        <v>27</v>
      </c>
      <c r="B26" s="174">
        <v>0</v>
      </c>
      <c r="C26" s="175">
        <v>0</v>
      </c>
      <c r="D26" s="174">
        <v>33</v>
      </c>
      <c r="E26" s="175">
        <v>12.89</v>
      </c>
      <c r="F26" s="174">
        <v>37</v>
      </c>
      <c r="G26" s="175">
        <v>12.63</v>
      </c>
      <c r="H26" s="174">
        <v>4</v>
      </c>
      <c r="I26" s="175">
        <v>1.7</v>
      </c>
      <c r="J26" s="174">
        <v>4</v>
      </c>
      <c r="K26" s="175">
        <v>1.86</v>
      </c>
      <c r="L26" s="174">
        <v>8</v>
      </c>
      <c r="M26" s="175">
        <v>3.54</v>
      </c>
      <c r="N26" s="174">
        <v>8</v>
      </c>
      <c r="O26" s="175">
        <v>4.0999999999999996</v>
      </c>
      <c r="P26" s="174">
        <v>4</v>
      </c>
      <c r="Q26" s="175">
        <v>7.27</v>
      </c>
    </row>
    <row r="27" spans="1:17" ht="14.25" x14ac:dyDescent="0.2">
      <c r="A27" s="173" t="s">
        <v>28</v>
      </c>
      <c r="B27" s="174">
        <v>7</v>
      </c>
      <c r="C27" s="175">
        <v>10.94</v>
      </c>
      <c r="D27" s="174">
        <v>31</v>
      </c>
      <c r="E27" s="175">
        <v>12.11</v>
      </c>
      <c r="F27" s="174">
        <v>36</v>
      </c>
      <c r="G27" s="175">
        <v>12.29</v>
      </c>
      <c r="H27" s="174">
        <v>36</v>
      </c>
      <c r="I27" s="175">
        <v>15.32</v>
      </c>
      <c r="J27" s="174">
        <v>32</v>
      </c>
      <c r="K27" s="175">
        <v>14.88</v>
      </c>
      <c r="L27" s="174">
        <v>3</v>
      </c>
      <c r="M27" s="175">
        <v>1.33</v>
      </c>
      <c r="N27" s="174">
        <v>2</v>
      </c>
      <c r="O27" s="175">
        <v>1.03</v>
      </c>
      <c r="P27" s="174">
        <v>1</v>
      </c>
      <c r="Q27" s="175">
        <v>1.82</v>
      </c>
    </row>
    <row r="28" spans="1:17" ht="14.25" x14ac:dyDescent="0.2">
      <c r="A28" s="173" t="s">
        <v>29</v>
      </c>
      <c r="B28" s="174">
        <v>34</v>
      </c>
      <c r="C28" s="175">
        <v>53.13</v>
      </c>
      <c r="D28" s="174">
        <v>48</v>
      </c>
      <c r="E28" s="175">
        <v>18.75</v>
      </c>
      <c r="F28" s="174">
        <v>52</v>
      </c>
      <c r="G28" s="175">
        <v>17.75</v>
      </c>
      <c r="H28" s="174">
        <v>34</v>
      </c>
      <c r="I28" s="175">
        <v>14.47</v>
      </c>
      <c r="J28" s="174">
        <v>36</v>
      </c>
      <c r="K28" s="175">
        <v>16.739999999999998</v>
      </c>
      <c r="L28" s="174">
        <v>16</v>
      </c>
      <c r="M28" s="175">
        <v>7.08</v>
      </c>
      <c r="N28" s="174">
        <v>19</v>
      </c>
      <c r="O28" s="175">
        <v>9.74</v>
      </c>
      <c r="P28" s="174">
        <v>4</v>
      </c>
      <c r="Q28" s="175">
        <v>7.27</v>
      </c>
    </row>
    <row r="29" spans="1:17" ht="14.25" x14ac:dyDescent="0.2">
      <c r="A29" s="173" t="s">
        <v>30</v>
      </c>
      <c r="B29" s="174">
        <v>0</v>
      </c>
      <c r="C29" s="175">
        <v>0</v>
      </c>
      <c r="D29" s="174">
        <v>18</v>
      </c>
      <c r="E29" s="175">
        <v>7.03</v>
      </c>
      <c r="F29" s="174">
        <v>20</v>
      </c>
      <c r="G29" s="175">
        <v>6.83</v>
      </c>
      <c r="H29" s="174">
        <v>36</v>
      </c>
      <c r="I29" s="175">
        <v>15.32</v>
      </c>
      <c r="J29" s="174">
        <v>35</v>
      </c>
      <c r="K29" s="175">
        <v>16.28</v>
      </c>
      <c r="L29" s="174">
        <v>81</v>
      </c>
      <c r="M29" s="175">
        <v>35.840000000000003</v>
      </c>
      <c r="N29" s="174">
        <v>60</v>
      </c>
      <c r="O29" s="175">
        <v>30.77</v>
      </c>
      <c r="P29" s="174">
        <v>13</v>
      </c>
      <c r="Q29" s="175">
        <v>23.64</v>
      </c>
    </row>
    <row r="30" spans="1:17" ht="14.25" x14ac:dyDescent="0.2">
      <c r="A30" s="173" t="s">
        <v>31</v>
      </c>
      <c r="B30" s="174">
        <v>2</v>
      </c>
      <c r="C30" s="175">
        <v>3.13</v>
      </c>
      <c r="D30" s="174">
        <v>60</v>
      </c>
      <c r="E30" s="175">
        <v>23.44</v>
      </c>
      <c r="F30" s="174">
        <v>75</v>
      </c>
      <c r="G30" s="175">
        <v>25.6</v>
      </c>
      <c r="H30" s="174">
        <v>6</v>
      </c>
      <c r="I30" s="175">
        <v>2.5499999999999998</v>
      </c>
      <c r="J30" s="174">
        <v>4</v>
      </c>
      <c r="K30" s="175">
        <v>1.86</v>
      </c>
      <c r="L30" s="174">
        <v>22</v>
      </c>
      <c r="M30" s="175">
        <v>9.73</v>
      </c>
      <c r="N30" s="174">
        <v>18</v>
      </c>
      <c r="O30" s="175">
        <v>9.23</v>
      </c>
      <c r="P30" s="174">
        <v>3</v>
      </c>
      <c r="Q30" s="175">
        <v>5.46</v>
      </c>
    </row>
    <row r="31" spans="1:17" ht="14.25" x14ac:dyDescent="0.2">
      <c r="A31" s="173" t="s">
        <v>32</v>
      </c>
      <c r="B31" s="174">
        <v>2</v>
      </c>
      <c r="C31" s="175">
        <v>3.13</v>
      </c>
      <c r="D31" s="174">
        <v>19</v>
      </c>
      <c r="E31" s="175">
        <v>7.42</v>
      </c>
      <c r="F31" s="174">
        <v>17</v>
      </c>
      <c r="G31" s="175">
        <v>5.8</v>
      </c>
      <c r="H31" s="174">
        <v>23</v>
      </c>
      <c r="I31" s="175">
        <v>9.7899999999999991</v>
      </c>
      <c r="J31" s="174">
        <v>19</v>
      </c>
      <c r="K31" s="175">
        <v>8.84</v>
      </c>
      <c r="L31" s="174">
        <v>11</v>
      </c>
      <c r="M31" s="175">
        <v>4.87</v>
      </c>
      <c r="N31" s="174">
        <v>10</v>
      </c>
      <c r="O31" s="175">
        <v>5.13</v>
      </c>
      <c r="P31" s="174">
        <v>4</v>
      </c>
      <c r="Q31" s="175">
        <v>7.27</v>
      </c>
    </row>
    <row r="32" spans="1:17" ht="14.25" x14ac:dyDescent="0.2">
      <c r="A32" s="173" t="s">
        <v>33</v>
      </c>
      <c r="B32" s="174">
        <v>0</v>
      </c>
      <c r="C32" s="175">
        <v>0</v>
      </c>
      <c r="D32" s="174">
        <v>27</v>
      </c>
      <c r="E32" s="175">
        <v>10.55</v>
      </c>
      <c r="F32" s="174">
        <v>34</v>
      </c>
      <c r="G32" s="175">
        <v>11.6</v>
      </c>
      <c r="H32" s="174">
        <v>23</v>
      </c>
      <c r="I32" s="175">
        <v>9.7899999999999991</v>
      </c>
      <c r="J32" s="174">
        <v>28</v>
      </c>
      <c r="K32" s="175">
        <v>13.02</v>
      </c>
      <c r="L32" s="174">
        <v>8</v>
      </c>
      <c r="M32" s="175">
        <v>3.54</v>
      </c>
      <c r="N32" s="174">
        <v>5</v>
      </c>
      <c r="O32" s="175">
        <v>2.56</v>
      </c>
      <c r="P32" s="174">
        <v>3</v>
      </c>
      <c r="Q32" s="175">
        <v>5.46</v>
      </c>
    </row>
    <row r="33" spans="1:17" ht="14.25" x14ac:dyDescent="0.2">
      <c r="A33" s="173" t="s">
        <v>111</v>
      </c>
      <c r="B33" s="174">
        <v>0</v>
      </c>
      <c r="C33" s="175">
        <v>0</v>
      </c>
      <c r="D33" s="174">
        <v>6</v>
      </c>
      <c r="E33" s="175">
        <v>2.34</v>
      </c>
      <c r="F33" s="174">
        <v>11</v>
      </c>
      <c r="G33" s="175">
        <v>3.75</v>
      </c>
      <c r="H33" s="174">
        <v>68</v>
      </c>
      <c r="I33" s="175">
        <v>28.94</v>
      </c>
      <c r="J33" s="174">
        <v>50</v>
      </c>
      <c r="K33" s="175">
        <v>23.26</v>
      </c>
      <c r="L33" s="174">
        <v>59</v>
      </c>
      <c r="M33" s="175">
        <v>26.11</v>
      </c>
      <c r="N33" s="174">
        <v>43</v>
      </c>
      <c r="O33" s="175">
        <v>22.05</v>
      </c>
      <c r="P33" s="174">
        <v>14</v>
      </c>
      <c r="Q33" s="175">
        <v>25.45</v>
      </c>
    </row>
    <row r="34" spans="1:17" ht="14.25" x14ac:dyDescent="0.2">
      <c r="A34" s="173" t="s">
        <v>105</v>
      </c>
      <c r="B34" s="174" t="s">
        <v>88</v>
      </c>
      <c r="C34" s="175">
        <v>55438.45</v>
      </c>
      <c r="D34" s="174" t="s">
        <v>88</v>
      </c>
      <c r="E34" s="175">
        <v>77375.31</v>
      </c>
      <c r="F34" s="174" t="s">
        <v>88</v>
      </c>
      <c r="G34" s="175">
        <v>89935.48</v>
      </c>
      <c r="H34" s="174" t="s">
        <v>88</v>
      </c>
      <c r="I34" s="175">
        <v>105612.21</v>
      </c>
      <c r="J34" s="174" t="s">
        <v>88</v>
      </c>
      <c r="K34" s="175">
        <v>93786.89</v>
      </c>
      <c r="L34" s="174" t="s">
        <v>88</v>
      </c>
      <c r="M34" s="175">
        <v>95062.88</v>
      </c>
      <c r="N34" s="174" t="s">
        <v>88</v>
      </c>
      <c r="O34" s="175">
        <v>90531.91</v>
      </c>
      <c r="P34" s="174" t="s">
        <v>88</v>
      </c>
      <c r="Q34" s="175">
        <v>90678.75</v>
      </c>
    </row>
    <row r="35" spans="1:17" ht="14.25" x14ac:dyDescent="0.2">
      <c r="A35" s="173" t="s">
        <v>154</v>
      </c>
      <c r="B35" s="174" t="s">
        <v>88</v>
      </c>
      <c r="C35" s="175">
        <v>57502</v>
      </c>
      <c r="D35" s="174" t="s">
        <v>88</v>
      </c>
      <c r="E35" s="175">
        <v>91788</v>
      </c>
      <c r="F35" s="174" t="s">
        <v>88</v>
      </c>
      <c r="G35" s="175">
        <v>101381</v>
      </c>
      <c r="H35" s="174" t="s">
        <v>88</v>
      </c>
      <c r="I35" s="175">
        <v>131973</v>
      </c>
      <c r="J35" s="174" t="s">
        <v>88</v>
      </c>
      <c r="K35" s="175">
        <v>119256</v>
      </c>
      <c r="L35" s="174" t="s">
        <v>88</v>
      </c>
      <c r="M35" s="175">
        <v>120389</v>
      </c>
      <c r="N35" s="174" t="s">
        <v>88</v>
      </c>
      <c r="O35" s="175">
        <v>107243</v>
      </c>
      <c r="P35" s="174" t="s">
        <v>88</v>
      </c>
      <c r="Q35" s="175">
        <v>107424</v>
      </c>
    </row>
  </sheetData>
  <mergeCells count="12">
    <mergeCell ref="J4:K4"/>
    <mergeCell ref="A6:Q6"/>
    <mergeCell ref="A21:Q21"/>
    <mergeCell ref="A23:Q23"/>
    <mergeCell ref="A8:Q8"/>
    <mergeCell ref="L4:M4"/>
    <mergeCell ref="N4:O4"/>
    <mergeCell ref="P4:Q4"/>
    <mergeCell ref="B4:C4"/>
    <mergeCell ref="D4:E4"/>
    <mergeCell ref="F4:G4"/>
    <mergeCell ref="H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EAB0-3DD0-4296-8ACD-4B4452757B1F}">
  <sheetPr>
    <tabColor rgb="FFFF0000"/>
  </sheetPr>
  <dimension ref="A1"/>
  <sheetViews>
    <sheetView workbookViewId="0">
      <selection activeCell="O39" sqref="O39"/>
    </sheetView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4431-FA44-41B9-8730-2CF56D297729}">
  <dimension ref="A1:C31"/>
  <sheetViews>
    <sheetView workbookViewId="0">
      <selection sqref="A1:XFD1048576"/>
    </sheetView>
  </sheetViews>
  <sheetFormatPr defaultRowHeight="12.75" x14ac:dyDescent="0.2"/>
  <cols>
    <col min="1" max="1" width="43.125" bestFit="1" customWidth="1"/>
    <col min="2" max="3" width="7.375" bestFit="1" customWidth="1"/>
  </cols>
  <sheetData>
    <row r="1" spans="1:3" ht="30" x14ac:dyDescent="0.4">
      <c r="A1" t="s">
        <v>123</v>
      </c>
    </row>
    <row r="2" spans="1:3" ht="15" x14ac:dyDescent="0.2">
      <c r="A2" s="130" t="s">
        <v>160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37</v>
      </c>
      <c r="B5" s="184"/>
      <c r="C5" s="184"/>
    </row>
    <row r="6" spans="1:3" ht="14.25" x14ac:dyDescent="0.2">
      <c r="A6" s="173" t="s">
        <v>71</v>
      </c>
      <c r="B6" s="174">
        <v>23460</v>
      </c>
      <c r="C6" s="175">
        <v>100</v>
      </c>
    </row>
    <row r="7" spans="1:3" ht="14.25" x14ac:dyDescent="0.2">
      <c r="A7" s="173" t="s">
        <v>120</v>
      </c>
      <c r="B7" s="174">
        <v>26913</v>
      </c>
      <c r="C7" s="175">
        <v>100</v>
      </c>
    </row>
    <row r="8" spans="1:3" ht="14.25" x14ac:dyDescent="0.2">
      <c r="A8" s="173" t="s">
        <v>124</v>
      </c>
      <c r="B8" s="174">
        <v>27739</v>
      </c>
      <c r="C8" s="175">
        <v>100</v>
      </c>
    </row>
    <row r="9" spans="1:3" ht="14.25" x14ac:dyDescent="0.2">
      <c r="A9" s="173" t="s">
        <v>125</v>
      </c>
      <c r="B9" s="174">
        <v>28302</v>
      </c>
      <c r="C9" s="175">
        <v>100</v>
      </c>
    </row>
    <row r="10" spans="1:3" ht="15" x14ac:dyDescent="0.25">
      <c r="A10" s="183" t="s">
        <v>72</v>
      </c>
      <c r="B10" s="184"/>
      <c r="C10" s="184"/>
    </row>
    <row r="11" spans="1:3" ht="14.25" x14ac:dyDescent="0.2">
      <c r="A11" s="173" t="s">
        <v>121</v>
      </c>
      <c r="B11" s="174" t="s">
        <v>88</v>
      </c>
      <c r="C11" s="175">
        <v>14.72</v>
      </c>
    </row>
    <row r="12" spans="1:3" ht="14.25" x14ac:dyDescent="0.2">
      <c r="A12" s="173" t="s">
        <v>126</v>
      </c>
      <c r="B12" s="174" t="s">
        <v>88</v>
      </c>
      <c r="C12" s="175">
        <v>3.07</v>
      </c>
    </row>
    <row r="13" spans="1:3" ht="14.25" x14ac:dyDescent="0.2">
      <c r="A13" s="173" t="s">
        <v>127</v>
      </c>
      <c r="B13" s="174" t="s">
        <v>88</v>
      </c>
      <c r="C13" s="175">
        <v>2.0299999999999998</v>
      </c>
    </row>
    <row r="14" spans="1:3" ht="15" x14ac:dyDescent="0.25">
      <c r="A14" s="183" t="s">
        <v>38</v>
      </c>
      <c r="B14" s="184"/>
      <c r="C14" s="184"/>
    </row>
    <row r="15" spans="1:3" ht="14.25" x14ac:dyDescent="0.2">
      <c r="A15" s="173" t="s">
        <v>71</v>
      </c>
      <c r="B15" s="174">
        <v>7961</v>
      </c>
      <c r="C15" s="175">
        <v>100</v>
      </c>
    </row>
    <row r="16" spans="1:3" ht="14.25" x14ac:dyDescent="0.2">
      <c r="A16" s="173" t="s">
        <v>120</v>
      </c>
      <c r="B16" s="174">
        <v>9443</v>
      </c>
      <c r="C16" s="175">
        <v>100</v>
      </c>
    </row>
    <row r="17" spans="1:3" ht="14.25" x14ac:dyDescent="0.2">
      <c r="A17" s="173" t="s">
        <v>124</v>
      </c>
      <c r="B17" s="174">
        <v>9917</v>
      </c>
      <c r="C17" s="175">
        <v>100</v>
      </c>
    </row>
    <row r="18" spans="1:3" ht="14.25" x14ac:dyDescent="0.2">
      <c r="A18" s="173" t="s">
        <v>125</v>
      </c>
      <c r="B18" s="174">
        <v>10181</v>
      </c>
      <c r="C18" s="175">
        <v>100</v>
      </c>
    </row>
    <row r="19" spans="1:3" ht="15" x14ac:dyDescent="0.25">
      <c r="A19" s="183" t="s">
        <v>73</v>
      </c>
      <c r="B19" s="184"/>
      <c r="C19" s="184"/>
    </row>
    <row r="20" spans="1:3" ht="14.25" x14ac:dyDescent="0.2">
      <c r="A20" s="173" t="s">
        <v>121</v>
      </c>
      <c r="B20" s="174" t="s">
        <v>88</v>
      </c>
      <c r="C20" s="175">
        <v>18.62</v>
      </c>
    </row>
    <row r="21" spans="1:3" ht="14.25" x14ac:dyDescent="0.2">
      <c r="A21" s="173" t="s">
        <v>126</v>
      </c>
      <c r="B21" s="174" t="s">
        <v>88</v>
      </c>
      <c r="C21" s="175">
        <v>5.0199999999999996</v>
      </c>
    </row>
    <row r="22" spans="1:3" ht="14.25" x14ac:dyDescent="0.2">
      <c r="A22" s="173" t="s">
        <v>127</v>
      </c>
      <c r="B22" s="174" t="s">
        <v>88</v>
      </c>
      <c r="C22" s="175">
        <v>2.66</v>
      </c>
    </row>
    <row r="23" spans="1:3" ht="15" x14ac:dyDescent="0.25">
      <c r="A23" s="183" t="s">
        <v>74</v>
      </c>
      <c r="B23" s="184"/>
      <c r="C23" s="184"/>
    </row>
    <row r="24" spans="1:3" ht="14.25" x14ac:dyDescent="0.2">
      <c r="A24" s="173" t="s">
        <v>71</v>
      </c>
      <c r="B24" s="174">
        <v>4771</v>
      </c>
      <c r="C24" s="175">
        <v>100</v>
      </c>
    </row>
    <row r="25" spans="1:3" ht="14.25" x14ac:dyDescent="0.2">
      <c r="A25" s="173" t="s">
        <v>120</v>
      </c>
      <c r="B25" s="174">
        <v>5480</v>
      </c>
      <c r="C25" s="175">
        <v>100</v>
      </c>
    </row>
    <row r="26" spans="1:3" ht="14.25" x14ac:dyDescent="0.2">
      <c r="A26" s="173" t="s">
        <v>124</v>
      </c>
      <c r="B26" s="174">
        <v>5721</v>
      </c>
      <c r="C26" s="175">
        <v>100</v>
      </c>
    </row>
    <row r="27" spans="1:3" ht="14.25" x14ac:dyDescent="0.2">
      <c r="A27" s="173" t="s">
        <v>125</v>
      </c>
      <c r="B27" s="174">
        <v>5881</v>
      </c>
      <c r="C27" s="175">
        <v>100</v>
      </c>
    </row>
    <row r="28" spans="1:3" ht="15" x14ac:dyDescent="0.25">
      <c r="A28" s="183" t="s">
        <v>75</v>
      </c>
      <c r="B28" s="184"/>
      <c r="C28" s="184"/>
    </row>
    <row r="29" spans="1:3" ht="14.25" x14ac:dyDescent="0.2">
      <c r="A29" s="173" t="s">
        <v>121</v>
      </c>
      <c r="B29" s="174" t="s">
        <v>88</v>
      </c>
      <c r="C29" s="175">
        <v>14.86</v>
      </c>
    </row>
    <row r="30" spans="1:3" ht="14.25" x14ac:dyDescent="0.2">
      <c r="A30" s="173" t="s">
        <v>126</v>
      </c>
      <c r="B30" s="174" t="s">
        <v>88</v>
      </c>
      <c r="C30" s="175">
        <v>4.4000000000000004</v>
      </c>
    </row>
    <row r="31" spans="1:3" ht="14.25" x14ac:dyDescent="0.2">
      <c r="A31" s="173" t="s">
        <v>127</v>
      </c>
      <c r="B31" s="174" t="s">
        <v>88</v>
      </c>
      <c r="C31" s="175">
        <v>2.8</v>
      </c>
    </row>
  </sheetData>
  <mergeCells count="6">
    <mergeCell ref="A28:C28"/>
    <mergeCell ref="A23:C23"/>
    <mergeCell ref="A5:C5"/>
    <mergeCell ref="A10:C10"/>
    <mergeCell ref="A14:C14"/>
    <mergeCell ref="A19:C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E6DE-7BD3-4BAD-A4BB-E829A3655BBB}">
  <dimension ref="A1:C45"/>
  <sheetViews>
    <sheetView workbookViewId="0">
      <selection sqref="A1:XFD1048576"/>
    </sheetView>
  </sheetViews>
  <sheetFormatPr defaultRowHeight="12.75" x14ac:dyDescent="0.2"/>
  <cols>
    <col min="1" max="1" width="56.5" bestFit="1" customWidth="1"/>
    <col min="2" max="2" width="7.375" bestFit="1" customWidth="1"/>
    <col min="3" max="3" width="10.875" bestFit="1" customWidth="1"/>
  </cols>
  <sheetData>
    <row r="1" spans="1:3" ht="30" x14ac:dyDescent="0.4">
      <c r="A1" t="s">
        <v>128</v>
      </c>
    </row>
    <row r="2" spans="1:3" ht="15" x14ac:dyDescent="0.2">
      <c r="A2" s="130" t="s">
        <v>160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129</v>
      </c>
      <c r="B5" s="184"/>
      <c r="C5" s="184"/>
    </row>
    <row r="6" spans="1:3" ht="14.25" x14ac:dyDescent="0.2">
      <c r="A6" s="173" t="s">
        <v>76</v>
      </c>
      <c r="B6" s="174">
        <v>14951</v>
      </c>
      <c r="C6" s="175">
        <v>53.9</v>
      </c>
    </row>
    <row r="7" spans="1:3" ht="14.25" x14ac:dyDescent="0.2">
      <c r="A7" s="173" t="s">
        <v>77</v>
      </c>
      <c r="B7" s="174">
        <v>8217</v>
      </c>
      <c r="C7" s="175">
        <v>29.62</v>
      </c>
    </row>
    <row r="8" spans="1:3" ht="14.25" x14ac:dyDescent="0.2">
      <c r="A8" s="173" t="s">
        <v>78</v>
      </c>
      <c r="B8" s="174">
        <v>78</v>
      </c>
      <c r="C8" s="175">
        <v>0.28000000000000003</v>
      </c>
    </row>
    <row r="9" spans="1:3" ht="14.25" x14ac:dyDescent="0.2">
      <c r="A9" s="173" t="s">
        <v>79</v>
      </c>
      <c r="B9" s="174">
        <v>868</v>
      </c>
      <c r="C9" s="175">
        <v>3.13</v>
      </c>
    </row>
    <row r="10" spans="1:3" ht="14.25" x14ac:dyDescent="0.2">
      <c r="A10" s="173" t="s">
        <v>80</v>
      </c>
      <c r="B10" s="174">
        <v>47</v>
      </c>
      <c r="C10" s="175">
        <v>0.17</v>
      </c>
    </row>
    <row r="11" spans="1:3" ht="14.25" x14ac:dyDescent="0.2">
      <c r="A11" s="173" t="s">
        <v>81</v>
      </c>
      <c r="B11" s="174">
        <v>1164</v>
      </c>
      <c r="C11" s="175">
        <v>4.2</v>
      </c>
    </row>
    <row r="12" spans="1:3" ht="14.25" x14ac:dyDescent="0.2">
      <c r="A12" s="173" t="s">
        <v>82</v>
      </c>
      <c r="B12" s="174">
        <v>2414</v>
      </c>
      <c r="C12" s="175">
        <v>8.6999999999999993</v>
      </c>
    </row>
    <row r="13" spans="1:3" ht="15" x14ac:dyDescent="0.25">
      <c r="A13" s="183" t="s">
        <v>130</v>
      </c>
      <c r="B13" s="184"/>
      <c r="C13" s="184"/>
    </row>
    <row r="14" spans="1:3" ht="14.25" x14ac:dyDescent="0.2">
      <c r="A14" s="173" t="s">
        <v>83</v>
      </c>
      <c r="B14" s="174">
        <v>2713</v>
      </c>
      <c r="C14" s="175">
        <v>9.7799999999999994</v>
      </c>
    </row>
    <row r="15" spans="1:3" ht="14.25" x14ac:dyDescent="0.2">
      <c r="A15" s="173" t="s">
        <v>84</v>
      </c>
      <c r="B15" s="174">
        <v>25026</v>
      </c>
      <c r="C15" s="175">
        <v>90.22</v>
      </c>
    </row>
    <row r="16" spans="1:3" ht="15" x14ac:dyDescent="0.25">
      <c r="A16" s="183" t="s">
        <v>131</v>
      </c>
      <c r="B16" s="184"/>
      <c r="C16" s="184"/>
    </row>
    <row r="17" spans="1:3" ht="14.25" x14ac:dyDescent="0.2">
      <c r="A17" s="173" t="s">
        <v>85</v>
      </c>
      <c r="B17" s="174">
        <v>5449</v>
      </c>
      <c r="C17" s="175">
        <v>54.95</v>
      </c>
    </row>
    <row r="18" spans="1:3" ht="14.25" x14ac:dyDescent="0.2">
      <c r="A18" s="173" t="s">
        <v>86</v>
      </c>
      <c r="B18" s="174">
        <v>4468</v>
      </c>
      <c r="C18" s="175">
        <v>45.05</v>
      </c>
    </row>
    <row r="19" spans="1:3" ht="14.25" x14ac:dyDescent="0.2">
      <c r="A19" s="173" t="s">
        <v>87</v>
      </c>
      <c r="B19" s="174" t="s">
        <v>88</v>
      </c>
      <c r="C19" s="175">
        <v>2.23</v>
      </c>
    </row>
    <row r="20" spans="1:3" ht="15" x14ac:dyDescent="0.25">
      <c r="A20" s="183" t="s">
        <v>132</v>
      </c>
      <c r="B20" s="184"/>
      <c r="C20" s="184"/>
    </row>
    <row r="21" spans="1:3" ht="14.25" x14ac:dyDescent="0.2">
      <c r="A21" s="173" t="s">
        <v>89</v>
      </c>
      <c r="B21" s="174">
        <v>521</v>
      </c>
      <c r="C21" s="175">
        <v>5.25</v>
      </c>
    </row>
    <row r="22" spans="1:3" ht="14.25" x14ac:dyDescent="0.2">
      <c r="A22" s="173" t="s">
        <v>26</v>
      </c>
      <c r="B22" s="174">
        <v>510</v>
      </c>
      <c r="C22" s="175">
        <v>5.14</v>
      </c>
    </row>
    <row r="23" spans="1:3" ht="14.25" x14ac:dyDescent="0.2">
      <c r="A23" s="173" t="s">
        <v>27</v>
      </c>
      <c r="B23" s="174">
        <v>690</v>
      </c>
      <c r="C23" s="175">
        <v>6.96</v>
      </c>
    </row>
    <row r="24" spans="1:3" ht="14.25" x14ac:dyDescent="0.2">
      <c r="A24" s="173" t="s">
        <v>28</v>
      </c>
      <c r="B24" s="174">
        <v>994</v>
      </c>
      <c r="C24" s="175">
        <v>10.02</v>
      </c>
    </row>
    <row r="25" spans="1:3" ht="14.25" x14ac:dyDescent="0.2">
      <c r="A25" s="173" t="s">
        <v>29</v>
      </c>
      <c r="B25" s="174">
        <v>1596</v>
      </c>
      <c r="C25" s="175">
        <v>16.09</v>
      </c>
    </row>
    <row r="26" spans="1:3" ht="14.25" x14ac:dyDescent="0.2">
      <c r="A26" s="173" t="s">
        <v>30</v>
      </c>
      <c r="B26" s="174">
        <v>1112</v>
      </c>
      <c r="C26" s="175">
        <v>11.21</v>
      </c>
    </row>
    <row r="27" spans="1:3" ht="14.25" x14ac:dyDescent="0.2">
      <c r="A27" s="173" t="s">
        <v>31</v>
      </c>
      <c r="B27" s="174">
        <v>991</v>
      </c>
      <c r="C27" s="175">
        <v>9.99</v>
      </c>
    </row>
    <row r="28" spans="1:3" ht="14.25" x14ac:dyDescent="0.2">
      <c r="A28" s="173" t="s">
        <v>32</v>
      </c>
      <c r="B28" s="174">
        <v>1008</v>
      </c>
      <c r="C28" s="175">
        <v>10.16</v>
      </c>
    </row>
    <row r="29" spans="1:3" ht="14.25" x14ac:dyDescent="0.2">
      <c r="A29" s="173" t="s">
        <v>33</v>
      </c>
      <c r="B29" s="174">
        <v>1067</v>
      </c>
      <c r="C29" s="175">
        <v>10.76</v>
      </c>
    </row>
    <row r="30" spans="1:3" ht="14.25" x14ac:dyDescent="0.2">
      <c r="A30" s="173" t="s">
        <v>90</v>
      </c>
      <c r="B30" s="174">
        <v>515</v>
      </c>
      <c r="C30" s="175">
        <v>5.19</v>
      </c>
    </row>
    <row r="31" spans="1:3" ht="14.25" x14ac:dyDescent="0.2">
      <c r="A31" s="173" t="s">
        <v>91</v>
      </c>
      <c r="B31" s="174">
        <v>598</v>
      </c>
      <c r="C31" s="175">
        <v>6.03</v>
      </c>
    </row>
    <row r="32" spans="1:3" ht="14.25" x14ac:dyDescent="0.2">
      <c r="A32" s="173" t="s">
        <v>92</v>
      </c>
      <c r="B32" s="174">
        <v>315</v>
      </c>
      <c r="C32" s="175">
        <v>3.18</v>
      </c>
    </row>
    <row r="33" spans="1:3" ht="14.25" x14ac:dyDescent="0.2">
      <c r="A33" s="173" t="s">
        <v>93</v>
      </c>
      <c r="B33" s="174" t="s">
        <v>88</v>
      </c>
      <c r="C33" s="175">
        <v>121979</v>
      </c>
    </row>
    <row r="34" spans="1:3" ht="14.25" x14ac:dyDescent="0.2">
      <c r="A34" s="173" t="s">
        <v>34</v>
      </c>
      <c r="B34" s="174" t="s">
        <v>88</v>
      </c>
      <c r="C34" s="175">
        <v>88794.59</v>
      </c>
    </row>
    <row r="35" spans="1:3" ht="15" x14ac:dyDescent="0.25">
      <c r="A35" s="183" t="s">
        <v>133</v>
      </c>
      <c r="B35" s="184"/>
      <c r="C35" s="184"/>
    </row>
    <row r="36" spans="1:3" ht="14.25" x14ac:dyDescent="0.2">
      <c r="A36" s="173" t="s">
        <v>76</v>
      </c>
      <c r="B36" s="174" t="s">
        <v>88</v>
      </c>
      <c r="C36" s="175">
        <v>97723.71</v>
      </c>
    </row>
    <row r="37" spans="1:3" ht="14.25" x14ac:dyDescent="0.2">
      <c r="A37" s="173" t="s">
        <v>77</v>
      </c>
      <c r="B37" s="174" t="s">
        <v>88</v>
      </c>
      <c r="C37" s="175">
        <v>70980.55</v>
      </c>
    </row>
    <row r="38" spans="1:3" ht="14.25" x14ac:dyDescent="0.2">
      <c r="A38" s="173" t="s">
        <v>78</v>
      </c>
      <c r="B38" s="174" t="s">
        <v>88</v>
      </c>
      <c r="C38" s="175">
        <v>87794.71</v>
      </c>
    </row>
    <row r="39" spans="1:3" ht="14.25" x14ac:dyDescent="0.2">
      <c r="A39" s="173" t="s">
        <v>79</v>
      </c>
      <c r="B39" s="174" t="s">
        <v>88</v>
      </c>
      <c r="C39" s="175">
        <v>49262.36</v>
      </c>
    </row>
    <row r="40" spans="1:3" ht="14.25" x14ac:dyDescent="0.2">
      <c r="A40" s="173" t="s">
        <v>80</v>
      </c>
      <c r="B40" s="174" t="s">
        <v>88</v>
      </c>
      <c r="C40" s="175">
        <v>32907.61</v>
      </c>
    </row>
    <row r="41" spans="1:3" ht="14.25" x14ac:dyDescent="0.2">
      <c r="A41" s="173" t="s">
        <v>81</v>
      </c>
      <c r="B41" s="174" t="s">
        <v>88</v>
      </c>
      <c r="C41" s="175">
        <v>42631.81</v>
      </c>
    </row>
    <row r="42" spans="1:3" ht="14.25" x14ac:dyDescent="0.2">
      <c r="A42" s="173" t="s">
        <v>82</v>
      </c>
      <c r="B42" s="174" t="s">
        <v>88</v>
      </c>
      <c r="C42" s="175">
        <v>86755.48</v>
      </c>
    </row>
    <row r="43" spans="1:3" ht="15" x14ac:dyDescent="0.25">
      <c r="A43" s="183" t="s">
        <v>134</v>
      </c>
      <c r="B43" s="184"/>
      <c r="C43" s="184"/>
    </row>
    <row r="44" spans="1:3" ht="14.25" x14ac:dyDescent="0.2">
      <c r="A44" s="173" t="s">
        <v>83</v>
      </c>
      <c r="B44" s="174" t="s">
        <v>88</v>
      </c>
      <c r="C44" s="175">
        <v>46362.11</v>
      </c>
    </row>
    <row r="45" spans="1:3" ht="14.25" x14ac:dyDescent="0.2">
      <c r="A45" s="173" t="s">
        <v>84</v>
      </c>
      <c r="B45" s="174" t="s">
        <v>88</v>
      </c>
      <c r="C45" s="175">
        <v>92462.02</v>
      </c>
    </row>
  </sheetData>
  <mergeCells count="6">
    <mergeCell ref="A35:C35"/>
    <mergeCell ref="A43:C43"/>
    <mergeCell ref="A5:C5"/>
    <mergeCell ref="A13:C13"/>
    <mergeCell ref="A16:C16"/>
    <mergeCell ref="A20:C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5FCE-FB0C-46B0-A083-B838C65D3CDC}">
  <dimension ref="A1:C35"/>
  <sheetViews>
    <sheetView workbookViewId="0">
      <selection sqref="A1:XFD1048576"/>
    </sheetView>
  </sheetViews>
  <sheetFormatPr defaultRowHeight="12.75" x14ac:dyDescent="0.2"/>
  <cols>
    <col min="1" max="1" width="36.5" bestFit="1" customWidth="1"/>
    <col min="2" max="2" width="13.5" bestFit="1" customWidth="1"/>
    <col min="3" max="3" width="10.875" bestFit="1" customWidth="1"/>
  </cols>
  <sheetData>
    <row r="1" spans="1:3" ht="30" x14ac:dyDescent="0.4">
      <c r="A1" t="s">
        <v>135</v>
      </c>
    </row>
    <row r="2" spans="1:3" ht="15" x14ac:dyDescent="0.2">
      <c r="A2" s="130" t="s">
        <v>160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136</v>
      </c>
      <c r="B5" s="184"/>
      <c r="C5" s="184"/>
    </row>
    <row r="6" spans="1:3" ht="14.25" x14ac:dyDescent="0.2">
      <c r="A6" s="173" t="s">
        <v>37</v>
      </c>
      <c r="B6" s="174">
        <v>27739</v>
      </c>
      <c r="C6" s="175">
        <v>100</v>
      </c>
    </row>
    <row r="7" spans="1:3" ht="14.25" x14ac:dyDescent="0.2">
      <c r="A7" s="173" t="s">
        <v>38</v>
      </c>
      <c r="B7" s="174">
        <v>9917</v>
      </c>
      <c r="C7" s="175">
        <v>100</v>
      </c>
    </row>
    <row r="8" spans="1:3" ht="14.25" x14ac:dyDescent="0.2">
      <c r="A8" s="173" t="s">
        <v>39</v>
      </c>
      <c r="B8" s="174">
        <v>5721</v>
      </c>
      <c r="C8" s="175">
        <v>100</v>
      </c>
    </row>
    <row r="9" spans="1:3" ht="14.25" x14ac:dyDescent="0.2">
      <c r="A9" s="173" t="s">
        <v>40</v>
      </c>
      <c r="B9" s="174">
        <v>5313</v>
      </c>
      <c r="C9" s="175">
        <v>19.149999999999999</v>
      </c>
    </row>
    <row r="10" spans="1:3" ht="14.25" x14ac:dyDescent="0.2">
      <c r="A10" s="173" t="s">
        <v>41</v>
      </c>
      <c r="B10" s="174">
        <v>11315</v>
      </c>
      <c r="C10" s="175">
        <v>100</v>
      </c>
    </row>
    <row r="11" spans="1:3" ht="15" x14ac:dyDescent="0.25">
      <c r="A11" s="183" t="s">
        <v>137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2.23</v>
      </c>
    </row>
    <row r="13" spans="1:3" ht="15" x14ac:dyDescent="0.25">
      <c r="A13" s="183" t="s">
        <v>138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34.17</v>
      </c>
    </row>
    <row r="15" spans="1:3" ht="15" x14ac:dyDescent="0.25">
      <c r="A15" s="183" t="s">
        <v>139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88794.59</v>
      </c>
    </row>
    <row r="17" spans="1:3" ht="15" x14ac:dyDescent="0.25">
      <c r="A17" s="183" t="s">
        <v>140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455250.45</v>
      </c>
    </row>
    <row r="19" spans="1:3" ht="15" x14ac:dyDescent="0.25">
      <c r="A19" s="183" t="s">
        <v>141</v>
      </c>
      <c r="B19" s="184"/>
      <c r="C19" s="184"/>
    </row>
    <row r="20" spans="1:3" ht="14.25" x14ac:dyDescent="0.2">
      <c r="A20" s="173" t="s">
        <v>42</v>
      </c>
      <c r="B20" s="174">
        <v>505</v>
      </c>
      <c r="C20" s="175">
        <v>5.09</v>
      </c>
    </row>
    <row r="21" spans="1:3" ht="14.25" x14ac:dyDescent="0.2">
      <c r="A21" s="173" t="s">
        <v>43</v>
      </c>
      <c r="B21" s="174">
        <v>541</v>
      </c>
      <c r="C21" s="175">
        <v>5.46</v>
      </c>
    </row>
    <row r="22" spans="1:3" ht="14.25" x14ac:dyDescent="0.2">
      <c r="A22" s="173" t="s">
        <v>44</v>
      </c>
      <c r="B22" s="174">
        <v>779</v>
      </c>
      <c r="C22" s="175">
        <v>7.86</v>
      </c>
    </row>
    <row r="23" spans="1:3" ht="14.25" x14ac:dyDescent="0.2">
      <c r="A23" s="173" t="s">
        <v>45</v>
      </c>
      <c r="B23" s="174">
        <v>1291</v>
      </c>
      <c r="C23" s="175">
        <v>13.02</v>
      </c>
    </row>
    <row r="24" spans="1:3" ht="14.25" x14ac:dyDescent="0.2">
      <c r="A24" s="173" t="s">
        <v>46</v>
      </c>
      <c r="B24" s="174">
        <v>1833</v>
      </c>
      <c r="C24" s="175">
        <v>18.48</v>
      </c>
    </row>
    <row r="25" spans="1:3" ht="14.25" x14ac:dyDescent="0.2">
      <c r="A25" s="173" t="s">
        <v>47</v>
      </c>
      <c r="B25" s="174">
        <v>1386</v>
      </c>
      <c r="C25" s="175">
        <v>13.98</v>
      </c>
    </row>
    <row r="26" spans="1:3" ht="14.25" x14ac:dyDescent="0.2">
      <c r="A26" s="173" t="s">
        <v>48</v>
      </c>
      <c r="B26" s="174">
        <v>1245</v>
      </c>
      <c r="C26" s="175">
        <v>12.55</v>
      </c>
    </row>
    <row r="27" spans="1:3" ht="14.25" x14ac:dyDescent="0.2">
      <c r="A27" s="173" t="s">
        <v>49</v>
      </c>
      <c r="B27" s="174">
        <v>753</v>
      </c>
      <c r="C27" s="175">
        <v>7.59</v>
      </c>
    </row>
    <row r="28" spans="1:3" ht="14.25" x14ac:dyDescent="0.2">
      <c r="A28" s="173" t="s">
        <v>50</v>
      </c>
      <c r="B28" s="174">
        <v>713</v>
      </c>
      <c r="C28" s="175">
        <v>7.19</v>
      </c>
    </row>
    <row r="29" spans="1:3" ht="14.25" x14ac:dyDescent="0.2">
      <c r="A29" s="173" t="s">
        <v>51</v>
      </c>
      <c r="B29" s="174">
        <v>168</v>
      </c>
      <c r="C29" s="175">
        <v>1.69</v>
      </c>
    </row>
    <row r="30" spans="1:3" ht="14.25" x14ac:dyDescent="0.2">
      <c r="A30" s="173" t="s">
        <v>52</v>
      </c>
      <c r="B30" s="174">
        <v>538</v>
      </c>
      <c r="C30" s="175">
        <v>5.42</v>
      </c>
    </row>
    <row r="31" spans="1:3" ht="14.25" x14ac:dyDescent="0.2">
      <c r="A31" s="173" t="s">
        <v>53</v>
      </c>
      <c r="B31" s="174">
        <v>167</v>
      </c>
      <c r="C31" s="175">
        <v>1.68</v>
      </c>
    </row>
    <row r="32" spans="1:3" ht="15" x14ac:dyDescent="0.25">
      <c r="A32" s="183" t="s">
        <v>142</v>
      </c>
      <c r="B32" s="184"/>
      <c r="C32" s="184"/>
    </row>
    <row r="33" spans="1:3" ht="14.25" x14ac:dyDescent="0.2">
      <c r="A33" s="173" t="s">
        <v>95</v>
      </c>
      <c r="B33" s="174" t="s">
        <v>88</v>
      </c>
      <c r="C33" s="175">
        <v>102163</v>
      </c>
    </row>
    <row r="34" spans="1:3" ht="14.25" x14ac:dyDescent="0.2">
      <c r="A34" s="173" t="s">
        <v>96</v>
      </c>
      <c r="B34" s="174" t="s">
        <v>88</v>
      </c>
      <c r="C34" s="175">
        <v>75167.75</v>
      </c>
    </row>
    <row r="35" spans="1:3" ht="14.25" x14ac:dyDescent="0.2">
      <c r="A35" s="173" t="s">
        <v>97</v>
      </c>
      <c r="B35" s="174">
        <v>1013146730</v>
      </c>
      <c r="C35" s="175">
        <v>102162.62</v>
      </c>
    </row>
  </sheetData>
  <mergeCells count="7">
    <mergeCell ref="A32:C32"/>
    <mergeCell ref="A5:C5"/>
    <mergeCell ref="A11:C11"/>
    <mergeCell ref="A13:C13"/>
    <mergeCell ref="A15:C15"/>
    <mergeCell ref="A17:C17"/>
    <mergeCell ref="A19:C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9263-C54D-41A6-B126-19DFD10E7E54}">
  <dimension ref="A1:C35"/>
  <sheetViews>
    <sheetView workbookViewId="0">
      <selection activeCell="M34" sqref="M34"/>
    </sheetView>
  </sheetViews>
  <sheetFormatPr defaultRowHeight="12.75" x14ac:dyDescent="0.2"/>
  <cols>
    <col min="1" max="1" width="40.125" bestFit="1" customWidth="1"/>
    <col min="2" max="2" width="13.5" bestFit="1" customWidth="1"/>
    <col min="3" max="3" width="10.875" bestFit="1" customWidth="1"/>
  </cols>
  <sheetData>
    <row r="1" spans="1:3" ht="30" x14ac:dyDescent="0.4">
      <c r="A1" t="s">
        <v>143</v>
      </c>
    </row>
    <row r="2" spans="1:3" ht="15" x14ac:dyDescent="0.2">
      <c r="A2" s="130" t="s">
        <v>157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144</v>
      </c>
      <c r="B5" s="184"/>
      <c r="C5" s="184"/>
    </row>
    <row r="6" spans="1:3" ht="14.25" x14ac:dyDescent="0.2">
      <c r="A6" s="173" t="s">
        <v>37</v>
      </c>
      <c r="B6" s="174">
        <v>38861</v>
      </c>
      <c r="C6" s="175">
        <v>100</v>
      </c>
    </row>
    <row r="7" spans="1:3" ht="14.25" x14ac:dyDescent="0.2">
      <c r="A7" s="173" t="s">
        <v>38</v>
      </c>
      <c r="B7" s="174">
        <v>13760</v>
      </c>
      <c r="C7" s="175">
        <v>100</v>
      </c>
    </row>
    <row r="8" spans="1:3" ht="14.25" x14ac:dyDescent="0.2">
      <c r="A8" s="173" t="s">
        <v>39</v>
      </c>
      <c r="B8" s="174">
        <v>10654</v>
      </c>
      <c r="C8" s="175">
        <v>100</v>
      </c>
    </row>
    <row r="9" spans="1:3" ht="14.25" x14ac:dyDescent="0.2">
      <c r="A9" s="173" t="s">
        <v>40</v>
      </c>
      <c r="B9" s="174">
        <v>56</v>
      </c>
      <c r="C9" s="175">
        <v>0.14000000000000001</v>
      </c>
    </row>
    <row r="10" spans="1:3" ht="14.25" x14ac:dyDescent="0.2">
      <c r="A10" s="173" t="s">
        <v>41</v>
      </c>
      <c r="B10" s="174">
        <v>14353</v>
      </c>
      <c r="C10" s="175">
        <v>100</v>
      </c>
    </row>
    <row r="11" spans="1:3" ht="15" x14ac:dyDescent="0.25">
      <c r="A11" s="183" t="s">
        <v>145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2.81</v>
      </c>
    </row>
    <row r="13" spans="1:3" ht="15" x14ac:dyDescent="0.25">
      <c r="A13" s="183" t="s">
        <v>146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39.619999999999997</v>
      </c>
    </row>
    <row r="15" spans="1:3" ht="15" x14ac:dyDescent="0.25">
      <c r="A15" s="183" t="s">
        <v>147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122411.99</v>
      </c>
    </row>
    <row r="17" spans="1:3" ht="15" x14ac:dyDescent="0.25">
      <c r="A17" s="183" t="s">
        <v>148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595082.56000000006</v>
      </c>
    </row>
    <row r="19" spans="1:3" ht="15" x14ac:dyDescent="0.25">
      <c r="A19" s="183" t="s">
        <v>149</v>
      </c>
      <c r="B19" s="184"/>
      <c r="C19" s="184"/>
    </row>
    <row r="20" spans="1:3" ht="14.25" x14ac:dyDescent="0.2">
      <c r="A20" s="173" t="s">
        <v>54</v>
      </c>
      <c r="B20" s="174">
        <v>570</v>
      </c>
      <c r="C20" s="175">
        <v>4.1399999999999997</v>
      </c>
    </row>
    <row r="21" spans="1:3" ht="14.25" x14ac:dyDescent="0.2">
      <c r="A21" s="173" t="s">
        <v>55</v>
      </c>
      <c r="B21" s="174">
        <v>486</v>
      </c>
      <c r="C21" s="175">
        <v>3.53</v>
      </c>
    </row>
    <row r="22" spans="1:3" ht="14.25" x14ac:dyDescent="0.2">
      <c r="A22" s="173" t="s">
        <v>56</v>
      </c>
      <c r="B22" s="174">
        <v>663</v>
      </c>
      <c r="C22" s="175">
        <v>4.82</v>
      </c>
    </row>
    <row r="23" spans="1:3" ht="14.25" x14ac:dyDescent="0.2">
      <c r="A23" s="173" t="s">
        <v>57</v>
      </c>
      <c r="B23" s="174">
        <v>971</v>
      </c>
      <c r="C23" s="175">
        <v>7.06</v>
      </c>
    </row>
    <row r="24" spans="1:3" ht="14.25" x14ac:dyDescent="0.2">
      <c r="A24" s="173" t="s">
        <v>58</v>
      </c>
      <c r="B24" s="174">
        <v>1940</v>
      </c>
      <c r="C24" s="175">
        <v>14.1</v>
      </c>
    </row>
    <row r="25" spans="1:3" ht="14.25" x14ac:dyDescent="0.2">
      <c r="A25" s="173" t="s">
        <v>59</v>
      </c>
      <c r="B25" s="174">
        <v>2052</v>
      </c>
      <c r="C25" s="175">
        <v>14.91</v>
      </c>
    </row>
    <row r="26" spans="1:3" ht="14.25" x14ac:dyDescent="0.2">
      <c r="A26" s="173" t="s">
        <v>60</v>
      </c>
      <c r="B26" s="174">
        <v>1783</v>
      </c>
      <c r="C26" s="175">
        <v>12.96</v>
      </c>
    </row>
    <row r="27" spans="1:3" ht="14.25" x14ac:dyDescent="0.2">
      <c r="A27" s="173" t="s">
        <v>61</v>
      </c>
      <c r="B27" s="174">
        <v>1483</v>
      </c>
      <c r="C27" s="175">
        <v>10.78</v>
      </c>
    </row>
    <row r="28" spans="1:3" ht="14.25" x14ac:dyDescent="0.2">
      <c r="A28" s="173" t="s">
        <v>62</v>
      </c>
      <c r="B28" s="174">
        <v>1596</v>
      </c>
      <c r="C28" s="175">
        <v>11.6</v>
      </c>
    </row>
    <row r="29" spans="1:3" ht="14.25" x14ac:dyDescent="0.2">
      <c r="A29" s="173" t="s">
        <v>63</v>
      </c>
      <c r="B29" s="174">
        <v>426</v>
      </c>
      <c r="C29" s="175">
        <v>3.1</v>
      </c>
    </row>
    <row r="30" spans="1:3" ht="14.25" x14ac:dyDescent="0.2">
      <c r="A30" s="173" t="s">
        <v>64</v>
      </c>
      <c r="B30" s="174">
        <v>1389</v>
      </c>
      <c r="C30" s="175">
        <v>10.1</v>
      </c>
    </row>
    <row r="31" spans="1:3" ht="14.25" x14ac:dyDescent="0.2">
      <c r="A31" s="173" t="s">
        <v>65</v>
      </c>
      <c r="B31" s="174">
        <v>402</v>
      </c>
      <c r="C31" s="175">
        <v>2.92</v>
      </c>
    </row>
    <row r="32" spans="1:3" ht="15" x14ac:dyDescent="0.25">
      <c r="A32" s="183" t="s">
        <v>150</v>
      </c>
      <c r="B32" s="184"/>
      <c r="C32" s="184"/>
    </row>
    <row r="33" spans="1:3" ht="14.25" x14ac:dyDescent="0.2">
      <c r="A33" s="173" t="s">
        <v>115</v>
      </c>
      <c r="B33" s="174" t="s">
        <v>88</v>
      </c>
      <c r="C33" s="175">
        <v>134907</v>
      </c>
    </row>
    <row r="34" spans="1:3" ht="14.25" x14ac:dyDescent="0.2">
      <c r="A34" s="173" t="s">
        <v>114</v>
      </c>
      <c r="B34" s="174" t="s">
        <v>88</v>
      </c>
      <c r="C34" s="175">
        <v>102601.37</v>
      </c>
    </row>
    <row r="35" spans="1:3" ht="14.25" x14ac:dyDescent="0.2">
      <c r="A35" s="173" t="s">
        <v>116</v>
      </c>
      <c r="B35" s="174">
        <v>1859822452</v>
      </c>
      <c r="C35" s="175">
        <v>135161.51999999999</v>
      </c>
    </row>
  </sheetData>
  <mergeCells count="7">
    <mergeCell ref="A32:C32"/>
    <mergeCell ref="A5:C5"/>
    <mergeCell ref="A11:C11"/>
    <mergeCell ref="A13:C13"/>
    <mergeCell ref="A15:C15"/>
    <mergeCell ref="A17:C17"/>
    <mergeCell ref="A19:C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CFEB-E6CF-474E-9924-05CC43C48F6D}">
  <sheetPr>
    <tabColor rgb="FFFFFF00"/>
  </sheetPr>
  <dimension ref="A1:Q35"/>
  <sheetViews>
    <sheetView workbookViewId="0">
      <selection sqref="A1:XFD1048576"/>
    </sheetView>
  </sheetViews>
  <sheetFormatPr defaultRowHeight="12.75" x14ac:dyDescent="0.2"/>
  <cols>
    <col min="1" max="1" width="25.125" bestFit="1" customWidth="1"/>
    <col min="2" max="2" width="5.375" bestFit="1" customWidth="1"/>
    <col min="3" max="3" width="9.875" bestFit="1" customWidth="1"/>
    <col min="4" max="4" width="6.375" bestFit="1" customWidth="1"/>
    <col min="5" max="5" width="9.875" bestFit="1" customWidth="1"/>
    <col min="6" max="6" width="6.375" bestFit="1" customWidth="1"/>
    <col min="7" max="7" width="10.875" bestFit="1" customWidth="1"/>
    <col min="8" max="8" width="6.375" bestFit="1" customWidth="1"/>
    <col min="9" max="9" width="10.875" bestFit="1" customWidth="1"/>
    <col min="10" max="10" width="6.375" bestFit="1" customWidth="1"/>
    <col min="11" max="11" width="10.875" bestFit="1" customWidth="1"/>
    <col min="12" max="12" width="6.375" bestFit="1" customWidth="1"/>
    <col min="13" max="13" width="10.875" bestFit="1" customWidth="1"/>
    <col min="14" max="14" width="6.375" bestFit="1" customWidth="1"/>
    <col min="15" max="15" width="10.875" bestFit="1" customWidth="1"/>
    <col min="16" max="16" width="5.375" bestFit="1" customWidth="1"/>
    <col min="17" max="17" width="9.875" bestFit="1" customWidth="1"/>
  </cols>
  <sheetData>
    <row r="1" spans="1:17" ht="30" x14ac:dyDescent="0.4">
      <c r="A1" t="s">
        <v>151</v>
      </c>
    </row>
    <row r="2" spans="1:17" ht="15" x14ac:dyDescent="0.2">
      <c r="A2" s="130" t="s">
        <v>160</v>
      </c>
    </row>
    <row r="3" spans="1:17" ht="15" x14ac:dyDescent="0.2">
      <c r="A3" s="130" t="s">
        <v>108</v>
      </c>
    </row>
    <row r="4" spans="1:17" ht="14.25" x14ac:dyDescent="0.2">
      <c r="A4" s="176"/>
      <c r="B4" s="185" t="s">
        <v>98</v>
      </c>
      <c r="C4" s="184"/>
      <c r="D4" s="185" t="s">
        <v>99</v>
      </c>
      <c r="E4" s="184"/>
      <c r="F4" s="185" t="s">
        <v>100</v>
      </c>
      <c r="G4" s="184"/>
      <c r="H4" s="185" t="s">
        <v>101</v>
      </c>
      <c r="I4" s="184"/>
      <c r="J4" s="185" t="s">
        <v>102</v>
      </c>
      <c r="K4" s="184"/>
      <c r="L4" s="185" t="s">
        <v>103</v>
      </c>
      <c r="M4" s="184"/>
      <c r="N4" s="185" t="s">
        <v>104</v>
      </c>
      <c r="O4" s="184"/>
      <c r="P4" s="185" t="s">
        <v>24</v>
      </c>
      <c r="Q4" s="184"/>
    </row>
    <row r="5" spans="1:17" ht="14.25" x14ac:dyDescent="0.2">
      <c r="A5" s="171"/>
      <c r="B5" s="172" t="s">
        <v>109</v>
      </c>
      <c r="C5" s="172" t="s">
        <v>35</v>
      </c>
      <c r="D5" s="172" t="s">
        <v>109</v>
      </c>
      <c r="E5" s="172" t="s">
        <v>35</v>
      </c>
      <c r="F5" s="172" t="s">
        <v>109</v>
      </c>
      <c r="G5" s="172" t="s">
        <v>35</v>
      </c>
      <c r="H5" s="172" t="s">
        <v>109</v>
      </c>
      <c r="I5" s="172" t="s">
        <v>35</v>
      </c>
      <c r="J5" s="172" t="s">
        <v>109</v>
      </c>
      <c r="K5" s="172" t="s">
        <v>35</v>
      </c>
      <c r="L5" s="172" t="s">
        <v>109</v>
      </c>
      <c r="M5" s="172" t="s">
        <v>35</v>
      </c>
      <c r="N5" s="172" t="s">
        <v>109</v>
      </c>
      <c r="O5" s="172" t="s">
        <v>35</v>
      </c>
      <c r="P5" s="172" t="s">
        <v>109</v>
      </c>
      <c r="Q5" s="172" t="s">
        <v>35</v>
      </c>
    </row>
    <row r="6" spans="1:17" ht="15" x14ac:dyDescent="0.25">
      <c r="A6" s="183" t="s">
        <v>152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4.25" x14ac:dyDescent="0.2">
      <c r="A7" s="173" t="s">
        <v>25</v>
      </c>
      <c r="B7" s="174">
        <v>672</v>
      </c>
      <c r="C7" s="175">
        <v>6.78</v>
      </c>
      <c r="D7" s="174">
        <v>1422</v>
      </c>
      <c r="E7" s="175">
        <v>14.34</v>
      </c>
      <c r="F7" s="174">
        <v>1597</v>
      </c>
      <c r="G7" s="175">
        <v>16.100000000000001</v>
      </c>
      <c r="H7" s="174">
        <v>1371</v>
      </c>
      <c r="I7" s="175">
        <v>13.82</v>
      </c>
      <c r="J7" s="174">
        <v>1535</v>
      </c>
      <c r="K7" s="175">
        <v>15.48</v>
      </c>
      <c r="L7" s="174">
        <v>1611</v>
      </c>
      <c r="M7" s="175">
        <v>16.25</v>
      </c>
      <c r="N7" s="174">
        <v>1151</v>
      </c>
      <c r="O7" s="175">
        <v>11.61</v>
      </c>
      <c r="P7" s="174">
        <v>559</v>
      </c>
      <c r="Q7" s="175">
        <v>5.64</v>
      </c>
    </row>
    <row r="8" spans="1:17" ht="15" x14ac:dyDescent="0.25">
      <c r="A8" s="183" t="s">
        <v>153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14.25" x14ac:dyDescent="0.2">
      <c r="A9" s="173" t="s">
        <v>110</v>
      </c>
      <c r="B9" s="174">
        <v>205</v>
      </c>
      <c r="C9" s="175">
        <v>30.51</v>
      </c>
      <c r="D9" s="174">
        <v>46</v>
      </c>
      <c r="E9" s="175">
        <v>3.23</v>
      </c>
      <c r="F9" s="174">
        <v>34</v>
      </c>
      <c r="G9" s="175">
        <v>2.13</v>
      </c>
      <c r="H9" s="174">
        <v>15</v>
      </c>
      <c r="I9" s="175">
        <v>1.0900000000000001</v>
      </c>
      <c r="J9" s="174">
        <v>31</v>
      </c>
      <c r="K9" s="175">
        <v>2.02</v>
      </c>
      <c r="L9" s="174">
        <v>66</v>
      </c>
      <c r="M9" s="175">
        <v>4.0999999999999996</v>
      </c>
      <c r="N9" s="174">
        <v>74</v>
      </c>
      <c r="O9" s="175">
        <v>6.43</v>
      </c>
      <c r="P9" s="174">
        <v>50</v>
      </c>
      <c r="Q9" s="175">
        <v>8.9499999999999993</v>
      </c>
    </row>
    <row r="10" spans="1:17" ht="14.25" x14ac:dyDescent="0.2">
      <c r="A10" s="173" t="s">
        <v>26</v>
      </c>
      <c r="B10" s="174">
        <v>68</v>
      </c>
      <c r="C10" s="175">
        <v>10.119999999999999</v>
      </c>
      <c r="D10" s="174">
        <v>70</v>
      </c>
      <c r="E10" s="175">
        <v>4.92</v>
      </c>
      <c r="F10" s="174">
        <v>51</v>
      </c>
      <c r="G10" s="175">
        <v>3.19</v>
      </c>
      <c r="H10" s="174">
        <v>43</v>
      </c>
      <c r="I10" s="175">
        <v>3.14</v>
      </c>
      <c r="J10" s="174">
        <v>59</v>
      </c>
      <c r="K10" s="175">
        <v>3.84</v>
      </c>
      <c r="L10" s="174">
        <v>73</v>
      </c>
      <c r="M10" s="175">
        <v>4.53</v>
      </c>
      <c r="N10" s="174">
        <v>79</v>
      </c>
      <c r="O10" s="175">
        <v>6.86</v>
      </c>
      <c r="P10" s="174">
        <v>68</v>
      </c>
      <c r="Q10" s="175">
        <v>12.16</v>
      </c>
    </row>
    <row r="11" spans="1:17" ht="14.25" x14ac:dyDescent="0.2">
      <c r="A11" s="173" t="s">
        <v>27</v>
      </c>
      <c r="B11" s="174">
        <v>49</v>
      </c>
      <c r="C11" s="175">
        <v>7.29</v>
      </c>
      <c r="D11" s="174">
        <v>133</v>
      </c>
      <c r="E11" s="175">
        <v>9.35</v>
      </c>
      <c r="F11" s="174">
        <v>96</v>
      </c>
      <c r="G11" s="175">
        <v>6.01</v>
      </c>
      <c r="H11" s="174">
        <v>27</v>
      </c>
      <c r="I11" s="175">
        <v>1.97</v>
      </c>
      <c r="J11" s="174">
        <v>46</v>
      </c>
      <c r="K11" s="175">
        <v>3</v>
      </c>
      <c r="L11" s="174">
        <v>120</v>
      </c>
      <c r="M11" s="175">
        <v>7.45</v>
      </c>
      <c r="N11" s="174">
        <v>128</v>
      </c>
      <c r="O11" s="175">
        <v>11.12</v>
      </c>
      <c r="P11" s="174">
        <v>91</v>
      </c>
      <c r="Q11" s="175">
        <v>16.28</v>
      </c>
    </row>
    <row r="12" spans="1:17" ht="14.25" x14ac:dyDescent="0.2">
      <c r="A12" s="173" t="s">
        <v>28</v>
      </c>
      <c r="B12" s="174">
        <v>150</v>
      </c>
      <c r="C12" s="175">
        <v>22.32</v>
      </c>
      <c r="D12" s="174">
        <v>166</v>
      </c>
      <c r="E12" s="175">
        <v>11.67</v>
      </c>
      <c r="F12" s="174">
        <v>138</v>
      </c>
      <c r="G12" s="175">
        <v>8.64</v>
      </c>
      <c r="H12" s="174">
        <v>132</v>
      </c>
      <c r="I12" s="175">
        <v>9.6300000000000008</v>
      </c>
      <c r="J12" s="174">
        <v>155</v>
      </c>
      <c r="K12" s="175">
        <v>10.1</v>
      </c>
      <c r="L12" s="174">
        <v>99</v>
      </c>
      <c r="M12" s="175">
        <v>6.14</v>
      </c>
      <c r="N12" s="174">
        <v>87</v>
      </c>
      <c r="O12" s="175">
        <v>7.56</v>
      </c>
      <c r="P12" s="174">
        <v>68</v>
      </c>
      <c r="Q12" s="175">
        <v>12.16</v>
      </c>
    </row>
    <row r="13" spans="1:17" ht="14.25" x14ac:dyDescent="0.2">
      <c r="A13" s="173" t="s">
        <v>29</v>
      </c>
      <c r="B13" s="174">
        <v>88</v>
      </c>
      <c r="C13" s="175">
        <v>13.1</v>
      </c>
      <c r="D13" s="174">
        <v>335</v>
      </c>
      <c r="E13" s="175">
        <v>23.56</v>
      </c>
      <c r="F13" s="174">
        <v>309</v>
      </c>
      <c r="G13" s="175">
        <v>19.350000000000001</v>
      </c>
      <c r="H13" s="174">
        <v>187</v>
      </c>
      <c r="I13" s="175">
        <v>13.64</v>
      </c>
      <c r="J13" s="174">
        <v>228</v>
      </c>
      <c r="K13" s="175">
        <v>14.85</v>
      </c>
      <c r="L13" s="174">
        <v>213</v>
      </c>
      <c r="M13" s="175">
        <v>13.22</v>
      </c>
      <c r="N13" s="174">
        <v>163</v>
      </c>
      <c r="O13" s="175">
        <v>14.16</v>
      </c>
      <c r="P13" s="174">
        <v>74</v>
      </c>
      <c r="Q13" s="175">
        <v>13.24</v>
      </c>
    </row>
    <row r="14" spans="1:17" ht="14.25" x14ac:dyDescent="0.2">
      <c r="A14" s="173" t="s">
        <v>30</v>
      </c>
      <c r="B14" s="174">
        <v>39</v>
      </c>
      <c r="C14" s="175">
        <v>5.8</v>
      </c>
      <c r="D14" s="174">
        <v>165</v>
      </c>
      <c r="E14" s="175">
        <v>11.6</v>
      </c>
      <c r="F14" s="174">
        <v>156</v>
      </c>
      <c r="G14" s="175">
        <v>9.77</v>
      </c>
      <c r="H14" s="174">
        <v>108</v>
      </c>
      <c r="I14" s="175">
        <v>7.88</v>
      </c>
      <c r="J14" s="174">
        <v>142</v>
      </c>
      <c r="K14" s="175">
        <v>9.25</v>
      </c>
      <c r="L14" s="174">
        <v>265</v>
      </c>
      <c r="M14" s="175">
        <v>16.45</v>
      </c>
      <c r="N14" s="174">
        <v>174</v>
      </c>
      <c r="O14" s="175">
        <v>15.12</v>
      </c>
      <c r="P14" s="174">
        <v>64</v>
      </c>
      <c r="Q14" s="175">
        <v>11.45</v>
      </c>
    </row>
    <row r="15" spans="1:17" ht="14.25" x14ac:dyDescent="0.2">
      <c r="A15" s="173" t="s">
        <v>31</v>
      </c>
      <c r="B15" s="174">
        <v>50</v>
      </c>
      <c r="C15" s="175">
        <v>7.44</v>
      </c>
      <c r="D15" s="174">
        <v>162</v>
      </c>
      <c r="E15" s="175">
        <v>11.39</v>
      </c>
      <c r="F15" s="174">
        <v>205</v>
      </c>
      <c r="G15" s="175">
        <v>12.84</v>
      </c>
      <c r="H15" s="174">
        <v>128</v>
      </c>
      <c r="I15" s="175">
        <v>9.34</v>
      </c>
      <c r="J15" s="174">
        <v>153</v>
      </c>
      <c r="K15" s="175">
        <v>9.9700000000000006</v>
      </c>
      <c r="L15" s="174">
        <v>168</v>
      </c>
      <c r="M15" s="175">
        <v>10.43</v>
      </c>
      <c r="N15" s="174">
        <v>96</v>
      </c>
      <c r="O15" s="175">
        <v>8.34</v>
      </c>
      <c r="P15" s="174">
        <v>29</v>
      </c>
      <c r="Q15" s="175">
        <v>5.19</v>
      </c>
    </row>
    <row r="16" spans="1:17" ht="14.25" x14ac:dyDescent="0.2">
      <c r="A16" s="173" t="s">
        <v>32</v>
      </c>
      <c r="B16" s="174">
        <v>2</v>
      </c>
      <c r="C16" s="175">
        <v>0.3</v>
      </c>
      <c r="D16" s="174">
        <v>179</v>
      </c>
      <c r="E16" s="175">
        <v>12.59</v>
      </c>
      <c r="F16" s="174">
        <v>286</v>
      </c>
      <c r="G16" s="175">
        <v>17.91</v>
      </c>
      <c r="H16" s="174">
        <v>129</v>
      </c>
      <c r="I16" s="175">
        <v>9.41</v>
      </c>
      <c r="J16" s="174">
        <v>128</v>
      </c>
      <c r="K16" s="175">
        <v>8.34</v>
      </c>
      <c r="L16" s="174">
        <v>164</v>
      </c>
      <c r="M16" s="175">
        <v>10.18</v>
      </c>
      <c r="N16" s="174">
        <v>90</v>
      </c>
      <c r="O16" s="175">
        <v>7.82</v>
      </c>
      <c r="P16" s="174">
        <v>29</v>
      </c>
      <c r="Q16" s="175">
        <v>5.19</v>
      </c>
    </row>
    <row r="17" spans="1:17" ht="14.25" x14ac:dyDescent="0.2">
      <c r="A17" s="173" t="s">
        <v>33</v>
      </c>
      <c r="B17" s="174">
        <v>21</v>
      </c>
      <c r="C17" s="175">
        <v>3.13</v>
      </c>
      <c r="D17" s="174">
        <v>118</v>
      </c>
      <c r="E17" s="175">
        <v>8.3000000000000007</v>
      </c>
      <c r="F17" s="174">
        <v>212</v>
      </c>
      <c r="G17" s="175">
        <v>13.28</v>
      </c>
      <c r="H17" s="174">
        <v>249</v>
      </c>
      <c r="I17" s="175">
        <v>18.16</v>
      </c>
      <c r="J17" s="174">
        <v>245</v>
      </c>
      <c r="K17" s="175">
        <v>15.96</v>
      </c>
      <c r="L17" s="174">
        <v>133</v>
      </c>
      <c r="M17" s="175">
        <v>8.26</v>
      </c>
      <c r="N17" s="174">
        <v>71</v>
      </c>
      <c r="O17" s="175">
        <v>6.17</v>
      </c>
      <c r="P17" s="174">
        <v>19</v>
      </c>
      <c r="Q17" s="175">
        <v>3.4</v>
      </c>
    </row>
    <row r="18" spans="1:17" ht="14.25" x14ac:dyDescent="0.2">
      <c r="A18" s="173" t="s">
        <v>111</v>
      </c>
      <c r="B18" s="174">
        <v>1</v>
      </c>
      <c r="C18" s="175">
        <v>0.15</v>
      </c>
      <c r="D18" s="174">
        <v>49</v>
      </c>
      <c r="E18" s="175">
        <v>3.45</v>
      </c>
      <c r="F18" s="174">
        <v>109</v>
      </c>
      <c r="G18" s="175">
        <v>6.83</v>
      </c>
      <c r="H18" s="174">
        <v>353</v>
      </c>
      <c r="I18" s="175">
        <v>25.75</v>
      </c>
      <c r="J18" s="174">
        <v>348</v>
      </c>
      <c r="K18" s="175">
        <v>22.67</v>
      </c>
      <c r="L18" s="174">
        <v>311</v>
      </c>
      <c r="M18" s="175">
        <v>19.3</v>
      </c>
      <c r="N18" s="174">
        <v>190</v>
      </c>
      <c r="O18" s="175">
        <v>16.510000000000002</v>
      </c>
      <c r="P18" s="174">
        <v>68</v>
      </c>
      <c r="Q18" s="175">
        <v>12.16</v>
      </c>
    </row>
    <row r="19" spans="1:17" ht="14.25" x14ac:dyDescent="0.2">
      <c r="A19" s="173" t="s">
        <v>105</v>
      </c>
      <c r="B19" s="174" t="s">
        <v>88</v>
      </c>
      <c r="C19" s="175">
        <v>36716.019999999997</v>
      </c>
      <c r="D19" s="174" t="s">
        <v>88</v>
      </c>
      <c r="E19" s="175">
        <v>71651.460000000006</v>
      </c>
      <c r="F19" s="174" t="s">
        <v>88</v>
      </c>
      <c r="G19" s="175">
        <v>101956.12</v>
      </c>
      <c r="H19" s="174" t="s">
        <v>88</v>
      </c>
      <c r="I19" s="175">
        <v>133805.76000000001</v>
      </c>
      <c r="J19" s="174" t="s">
        <v>88</v>
      </c>
      <c r="K19" s="175">
        <v>117186.59</v>
      </c>
      <c r="L19" s="174" t="s">
        <v>88</v>
      </c>
      <c r="M19" s="175">
        <v>96867.21</v>
      </c>
      <c r="N19" s="174" t="s">
        <v>88</v>
      </c>
      <c r="O19" s="175">
        <v>81199.5</v>
      </c>
      <c r="P19" s="174" t="s">
        <v>88</v>
      </c>
      <c r="Q19" s="175">
        <v>50817.78</v>
      </c>
    </row>
    <row r="20" spans="1:17" ht="14.25" x14ac:dyDescent="0.2">
      <c r="A20" s="173" t="s">
        <v>154</v>
      </c>
      <c r="B20" s="174" t="s">
        <v>88</v>
      </c>
      <c r="C20" s="175">
        <v>47672</v>
      </c>
      <c r="D20" s="174" t="s">
        <v>88</v>
      </c>
      <c r="E20" s="175">
        <v>93360</v>
      </c>
      <c r="F20" s="174" t="s">
        <v>88</v>
      </c>
      <c r="G20" s="175">
        <v>108347</v>
      </c>
      <c r="H20" s="174" t="s">
        <v>88</v>
      </c>
      <c r="I20" s="175">
        <v>143474</v>
      </c>
      <c r="J20" s="174" t="s">
        <v>88</v>
      </c>
      <c r="K20" s="175">
        <v>127701</v>
      </c>
      <c r="L20" s="174" t="s">
        <v>88</v>
      </c>
      <c r="M20" s="175">
        <v>114814</v>
      </c>
      <c r="N20" s="174" t="s">
        <v>88</v>
      </c>
      <c r="O20" s="175">
        <v>98548</v>
      </c>
      <c r="P20" s="174" t="s">
        <v>88</v>
      </c>
      <c r="Q20" s="175">
        <v>86988</v>
      </c>
    </row>
    <row r="21" spans="1:17" ht="15" x14ac:dyDescent="0.25">
      <c r="A21" s="183" t="s">
        <v>155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</row>
    <row r="22" spans="1:17" ht="14.25" x14ac:dyDescent="0.2">
      <c r="A22" s="173" t="s">
        <v>25</v>
      </c>
      <c r="B22" s="174">
        <v>602</v>
      </c>
      <c r="C22" s="175">
        <v>5.91</v>
      </c>
      <c r="D22" s="174">
        <v>1353</v>
      </c>
      <c r="E22" s="175">
        <v>13.29</v>
      </c>
      <c r="F22" s="174">
        <v>1706</v>
      </c>
      <c r="G22" s="175">
        <v>16.760000000000002</v>
      </c>
      <c r="H22" s="174">
        <v>1527</v>
      </c>
      <c r="I22" s="175">
        <v>15</v>
      </c>
      <c r="J22" s="174">
        <v>1371</v>
      </c>
      <c r="K22" s="175">
        <v>13.47</v>
      </c>
      <c r="L22" s="174">
        <v>1650</v>
      </c>
      <c r="M22" s="175">
        <v>16.21</v>
      </c>
      <c r="N22" s="174">
        <v>1351</v>
      </c>
      <c r="O22" s="175">
        <v>13.27</v>
      </c>
      <c r="P22" s="174">
        <v>622</v>
      </c>
      <c r="Q22" s="175">
        <v>6.11</v>
      </c>
    </row>
    <row r="23" spans="1:17" ht="15" x14ac:dyDescent="0.25">
      <c r="A23" s="183" t="s">
        <v>156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</row>
    <row r="24" spans="1:17" ht="14.25" x14ac:dyDescent="0.2">
      <c r="A24" s="173" t="s">
        <v>110</v>
      </c>
      <c r="B24" s="174">
        <v>174</v>
      </c>
      <c r="C24" s="175">
        <v>28.9</v>
      </c>
      <c r="D24" s="174">
        <v>44</v>
      </c>
      <c r="E24" s="175">
        <v>3.25</v>
      </c>
      <c r="F24" s="174">
        <v>38</v>
      </c>
      <c r="G24" s="175">
        <v>2.23</v>
      </c>
      <c r="H24" s="174">
        <v>16</v>
      </c>
      <c r="I24" s="175">
        <v>1.05</v>
      </c>
      <c r="J24" s="174">
        <v>25</v>
      </c>
      <c r="K24" s="175">
        <v>1.82</v>
      </c>
      <c r="L24" s="174">
        <v>62</v>
      </c>
      <c r="M24" s="175">
        <v>3.76</v>
      </c>
      <c r="N24" s="174">
        <v>84</v>
      </c>
      <c r="O24" s="175">
        <v>6.22</v>
      </c>
      <c r="P24" s="174">
        <v>54</v>
      </c>
      <c r="Q24" s="175">
        <v>8.68</v>
      </c>
    </row>
    <row r="25" spans="1:17" ht="14.25" x14ac:dyDescent="0.2">
      <c r="A25" s="173" t="s">
        <v>26</v>
      </c>
      <c r="B25" s="174">
        <v>55</v>
      </c>
      <c r="C25" s="175">
        <v>9.14</v>
      </c>
      <c r="D25" s="174">
        <v>57</v>
      </c>
      <c r="E25" s="175">
        <v>4.21</v>
      </c>
      <c r="F25" s="174">
        <v>50</v>
      </c>
      <c r="G25" s="175">
        <v>2.93</v>
      </c>
      <c r="H25" s="174">
        <v>41</v>
      </c>
      <c r="I25" s="175">
        <v>2.69</v>
      </c>
      <c r="J25" s="174">
        <v>39</v>
      </c>
      <c r="K25" s="175">
        <v>2.85</v>
      </c>
      <c r="L25" s="174">
        <v>60</v>
      </c>
      <c r="M25" s="175">
        <v>3.64</v>
      </c>
      <c r="N25" s="174">
        <v>77</v>
      </c>
      <c r="O25" s="175">
        <v>5.7</v>
      </c>
      <c r="P25" s="174">
        <v>65</v>
      </c>
      <c r="Q25" s="175">
        <v>10.45</v>
      </c>
    </row>
    <row r="26" spans="1:17" ht="14.25" x14ac:dyDescent="0.2">
      <c r="A26" s="173" t="s">
        <v>27</v>
      </c>
      <c r="B26" s="174">
        <v>50</v>
      </c>
      <c r="C26" s="175">
        <v>8.31</v>
      </c>
      <c r="D26" s="174">
        <v>113</v>
      </c>
      <c r="E26" s="175">
        <v>8.35</v>
      </c>
      <c r="F26" s="174">
        <v>98</v>
      </c>
      <c r="G26" s="175">
        <v>5.74</v>
      </c>
      <c r="H26" s="174">
        <v>22</v>
      </c>
      <c r="I26" s="175">
        <v>1.44</v>
      </c>
      <c r="J26" s="174">
        <v>30</v>
      </c>
      <c r="K26" s="175">
        <v>2.19</v>
      </c>
      <c r="L26" s="174">
        <v>102</v>
      </c>
      <c r="M26" s="175">
        <v>6.18</v>
      </c>
      <c r="N26" s="174">
        <v>126</v>
      </c>
      <c r="O26" s="175">
        <v>9.33</v>
      </c>
      <c r="P26" s="174">
        <v>88</v>
      </c>
      <c r="Q26" s="175">
        <v>14.15</v>
      </c>
    </row>
    <row r="27" spans="1:17" ht="14.25" x14ac:dyDescent="0.2">
      <c r="A27" s="173" t="s">
        <v>28</v>
      </c>
      <c r="B27" s="174">
        <v>133</v>
      </c>
      <c r="C27" s="175">
        <v>22.09</v>
      </c>
      <c r="D27" s="174">
        <v>166</v>
      </c>
      <c r="E27" s="175">
        <v>12.27</v>
      </c>
      <c r="F27" s="174">
        <v>145</v>
      </c>
      <c r="G27" s="175">
        <v>8.5</v>
      </c>
      <c r="H27" s="174">
        <v>126</v>
      </c>
      <c r="I27" s="175">
        <v>8.25</v>
      </c>
      <c r="J27" s="174">
        <v>105</v>
      </c>
      <c r="K27" s="175">
        <v>7.66</v>
      </c>
      <c r="L27" s="174">
        <v>103</v>
      </c>
      <c r="M27" s="175">
        <v>6.24</v>
      </c>
      <c r="N27" s="174">
        <v>100</v>
      </c>
      <c r="O27" s="175">
        <v>7.4</v>
      </c>
      <c r="P27" s="174">
        <v>79</v>
      </c>
      <c r="Q27" s="175">
        <v>12.7</v>
      </c>
    </row>
    <row r="28" spans="1:17" ht="14.25" x14ac:dyDescent="0.2">
      <c r="A28" s="173" t="s">
        <v>29</v>
      </c>
      <c r="B28" s="174">
        <v>80</v>
      </c>
      <c r="C28" s="175">
        <v>13.29</v>
      </c>
      <c r="D28" s="174">
        <v>292</v>
      </c>
      <c r="E28" s="175">
        <v>21.58</v>
      </c>
      <c r="F28" s="174">
        <v>316</v>
      </c>
      <c r="G28" s="175">
        <v>18.52</v>
      </c>
      <c r="H28" s="174">
        <v>184</v>
      </c>
      <c r="I28" s="175">
        <v>12.05</v>
      </c>
      <c r="J28" s="174">
        <v>172</v>
      </c>
      <c r="K28" s="175">
        <v>12.55</v>
      </c>
      <c r="L28" s="174">
        <v>207</v>
      </c>
      <c r="M28" s="175">
        <v>12.55</v>
      </c>
      <c r="N28" s="174">
        <v>191</v>
      </c>
      <c r="O28" s="175">
        <v>14.14</v>
      </c>
      <c r="P28" s="174">
        <v>81</v>
      </c>
      <c r="Q28" s="175">
        <v>13.02</v>
      </c>
    </row>
    <row r="29" spans="1:17" ht="14.25" x14ac:dyDescent="0.2">
      <c r="A29" s="173" t="s">
        <v>30</v>
      </c>
      <c r="B29" s="174">
        <v>41</v>
      </c>
      <c r="C29" s="175">
        <v>6.81</v>
      </c>
      <c r="D29" s="174">
        <v>159</v>
      </c>
      <c r="E29" s="175">
        <v>11.75</v>
      </c>
      <c r="F29" s="174">
        <v>171</v>
      </c>
      <c r="G29" s="175">
        <v>10.02</v>
      </c>
      <c r="H29" s="174">
        <v>108</v>
      </c>
      <c r="I29" s="175">
        <v>7.07</v>
      </c>
      <c r="J29" s="174">
        <v>113</v>
      </c>
      <c r="K29" s="175">
        <v>8.24</v>
      </c>
      <c r="L29" s="174">
        <v>263</v>
      </c>
      <c r="M29" s="175">
        <v>15.94</v>
      </c>
      <c r="N29" s="174">
        <v>196</v>
      </c>
      <c r="O29" s="175">
        <v>14.51</v>
      </c>
      <c r="P29" s="174">
        <v>70</v>
      </c>
      <c r="Q29" s="175">
        <v>11.25</v>
      </c>
    </row>
    <row r="30" spans="1:17" ht="14.25" x14ac:dyDescent="0.2">
      <c r="A30" s="173" t="s">
        <v>31</v>
      </c>
      <c r="B30" s="174">
        <v>45</v>
      </c>
      <c r="C30" s="175">
        <v>7.47</v>
      </c>
      <c r="D30" s="174">
        <v>153</v>
      </c>
      <c r="E30" s="175">
        <v>11.31</v>
      </c>
      <c r="F30" s="174">
        <v>218</v>
      </c>
      <c r="G30" s="175">
        <v>12.78</v>
      </c>
      <c r="H30" s="174">
        <v>120</v>
      </c>
      <c r="I30" s="175">
        <v>7.86</v>
      </c>
      <c r="J30" s="174">
        <v>127</v>
      </c>
      <c r="K30" s="175">
        <v>9.26</v>
      </c>
      <c r="L30" s="174">
        <v>164</v>
      </c>
      <c r="M30" s="175">
        <v>9.94</v>
      </c>
      <c r="N30" s="174">
        <v>111</v>
      </c>
      <c r="O30" s="175">
        <v>8.2200000000000006</v>
      </c>
      <c r="P30" s="174">
        <v>31</v>
      </c>
      <c r="Q30" s="175">
        <v>4.9800000000000004</v>
      </c>
    </row>
    <row r="31" spans="1:17" ht="14.25" x14ac:dyDescent="0.2">
      <c r="A31" s="173" t="s">
        <v>32</v>
      </c>
      <c r="B31" s="174">
        <v>4</v>
      </c>
      <c r="C31" s="175">
        <v>0.67</v>
      </c>
      <c r="D31" s="174">
        <v>163</v>
      </c>
      <c r="E31" s="175">
        <v>12.05</v>
      </c>
      <c r="F31" s="174">
        <v>250</v>
      </c>
      <c r="G31" s="175">
        <v>14.65</v>
      </c>
      <c r="H31" s="174">
        <v>136</v>
      </c>
      <c r="I31" s="175">
        <v>8.91</v>
      </c>
      <c r="J31" s="174">
        <v>109</v>
      </c>
      <c r="K31" s="175">
        <v>7.95</v>
      </c>
      <c r="L31" s="174">
        <v>162</v>
      </c>
      <c r="M31" s="175">
        <v>9.82</v>
      </c>
      <c r="N31" s="174">
        <v>101</v>
      </c>
      <c r="O31" s="175">
        <v>7.48</v>
      </c>
      <c r="P31" s="174">
        <v>32</v>
      </c>
      <c r="Q31" s="175">
        <v>5.14</v>
      </c>
    </row>
    <row r="32" spans="1:17" ht="14.25" x14ac:dyDescent="0.2">
      <c r="A32" s="173" t="s">
        <v>33</v>
      </c>
      <c r="B32" s="174">
        <v>20</v>
      </c>
      <c r="C32" s="175">
        <v>3.32</v>
      </c>
      <c r="D32" s="174">
        <v>142</v>
      </c>
      <c r="E32" s="175">
        <v>10.49</v>
      </c>
      <c r="F32" s="174">
        <v>257</v>
      </c>
      <c r="G32" s="175">
        <v>15.06</v>
      </c>
      <c r="H32" s="174">
        <v>288</v>
      </c>
      <c r="I32" s="175">
        <v>18.86</v>
      </c>
      <c r="J32" s="174">
        <v>250</v>
      </c>
      <c r="K32" s="175">
        <v>18.23</v>
      </c>
      <c r="L32" s="174">
        <v>145</v>
      </c>
      <c r="M32" s="175">
        <v>8.7899999999999991</v>
      </c>
      <c r="N32" s="174">
        <v>91</v>
      </c>
      <c r="O32" s="175">
        <v>6.74</v>
      </c>
      <c r="P32" s="174">
        <v>24</v>
      </c>
      <c r="Q32" s="175">
        <v>3.86</v>
      </c>
    </row>
    <row r="33" spans="1:17" ht="14.25" x14ac:dyDescent="0.2">
      <c r="A33" s="173" t="s">
        <v>111</v>
      </c>
      <c r="B33" s="174">
        <v>1</v>
      </c>
      <c r="C33" s="175">
        <v>0.17</v>
      </c>
      <c r="D33" s="174">
        <v>65</v>
      </c>
      <c r="E33" s="175">
        <v>4.8</v>
      </c>
      <c r="F33" s="174">
        <v>162</v>
      </c>
      <c r="G33" s="175">
        <v>9.5</v>
      </c>
      <c r="H33" s="174">
        <v>485</v>
      </c>
      <c r="I33" s="175">
        <v>31.76</v>
      </c>
      <c r="J33" s="174">
        <v>400</v>
      </c>
      <c r="K33" s="175">
        <v>29.18</v>
      </c>
      <c r="L33" s="174">
        <v>383</v>
      </c>
      <c r="M33" s="175">
        <v>23.21</v>
      </c>
      <c r="N33" s="174">
        <v>274</v>
      </c>
      <c r="O33" s="175">
        <v>20.28</v>
      </c>
      <c r="P33" s="174">
        <v>98</v>
      </c>
      <c r="Q33" s="175">
        <v>15.76</v>
      </c>
    </row>
    <row r="34" spans="1:17" ht="14.25" x14ac:dyDescent="0.2">
      <c r="A34" s="173" t="s">
        <v>105</v>
      </c>
      <c r="B34" s="174" t="s">
        <v>88</v>
      </c>
      <c r="C34" s="175">
        <v>37818.449999999997</v>
      </c>
      <c r="D34" s="174" t="s">
        <v>88</v>
      </c>
      <c r="E34" s="175">
        <v>75614.12</v>
      </c>
      <c r="F34" s="174" t="s">
        <v>88</v>
      </c>
      <c r="G34" s="175">
        <v>104306.67</v>
      </c>
      <c r="H34" s="174" t="s">
        <v>88</v>
      </c>
      <c r="I34" s="175">
        <v>179656.72</v>
      </c>
      <c r="J34" s="174" t="s">
        <v>88</v>
      </c>
      <c r="K34" s="175">
        <v>141975.19</v>
      </c>
      <c r="L34" s="174" t="s">
        <v>88</v>
      </c>
      <c r="M34" s="175">
        <v>103711.74</v>
      </c>
      <c r="N34" s="174" t="s">
        <v>88</v>
      </c>
      <c r="O34" s="175">
        <v>86801.88</v>
      </c>
      <c r="P34" s="174" t="s">
        <v>88</v>
      </c>
      <c r="Q34" s="175">
        <v>56465.29</v>
      </c>
    </row>
    <row r="35" spans="1:17" ht="14.25" x14ac:dyDescent="0.2">
      <c r="A35" s="173" t="s">
        <v>154</v>
      </c>
      <c r="B35" s="174" t="s">
        <v>88</v>
      </c>
      <c r="C35" s="175">
        <v>51629</v>
      </c>
      <c r="D35" s="174" t="s">
        <v>88</v>
      </c>
      <c r="E35" s="175">
        <v>96032</v>
      </c>
      <c r="F35" s="174" t="s">
        <v>88</v>
      </c>
      <c r="G35" s="175">
        <v>115514</v>
      </c>
      <c r="H35" s="174" t="s">
        <v>88</v>
      </c>
      <c r="I35" s="175">
        <v>153898</v>
      </c>
      <c r="J35" s="174" t="s">
        <v>88</v>
      </c>
      <c r="K35" s="175">
        <v>140245</v>
      </c>
      <c r="L35" s="174" t="s">
        <v>88</v>
      </c>
      <c r="M35" s="175">
        <v>123167</v>
      </c>
      <c r="N35" s="174" t="s">
        <v>88</v>
      </c>
      <c r="O35" s="175">
        <v>106732</v>
      </c>
      <c r="P35" s="174" t="s">
        <v>88</v>
      </c>
      <c r="Q35" s="175">
        <v>94875</v>
      </c>
    </row>
  </sheetData>
  <mergeCells count="12">
    <mergeCell ref="N4:O4"/>
    <mergeCell ref="P4:Q4"/>
    <mergeCell ref="A21:Q21"/>
    <mergeCell ref="A23:Q23"/>
    <mergeCell ref="A6:Q6"/>
    <mergeCell ref="A8:Q8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A80B-98BF-4240-80C9-9588913ADBA9}">
  <sheetPr>
    <tabColor rgb="FFFF0000"/>
  </sheetPr>
  <dimension ref="A1"/>
  <sheetViews>
    <sheetView workbookViewId="0">
      <selection activeCell="Q37" sqref="Q37"/>
    </sheetView>
  </sheetViews>
  <sheetFormatPr defaultRowHeight="12.7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C5E1-E73E-4EC3-9BCC-69E955CD1FCB}">
  <dimension ref="A1:C31"/>
  <sheetViews>
    <sheetView workbookViewId="0">
      <selection sqref="A1:XFD1048576"/>
    </sheetView>
  </sheetViews>
  <sheetFormatPr defaultRowHeight="12.75" x14ac:dyDescent="0.2"/>
  <cols>
    <col min="1" max="1" width="43.125" bestFit="1" customWidth="1"/>
    <col min="2" max="3" width="7.375" bestFit="1" customWidth="1"/>
  </cols>
  <sheetData>
    <row r="1" spans="1:3" ht="30" x14ac:dyDescent="0.4">
      <c r="A1" t="s">
        <v>123</v>
      </c>
    </row>
    <row r="2" spans="1:3" ht="15" x14ac:dyDescent="0.2">
      <c r="A2" s="130" t="s">
        <v>161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37</v>
      </c>
      <c r="B5" s="184"/>
      <c r="C5" s="184"/>
    </row>
    <row r="6" spans="1:3" ht="14.25" x14ac:dyDescent="0.2">
      <c r="A6" s="173" t="s">
        <v>71</v>
      </c>
      <c r="B6" s="174">
        <v>55087</v>
      </c>
      <c r="C6" s="175">
        <v>100</v>
      </c>
    </row>
    <row r="7" spans="1:3" ht="14.25" x14ac:dyDescent="0.2">
      <c r="A7" s="173" t="s">
        <v>120</v>
      </c>
      <c r="B7" s="174">
        <v>61454</v>
      </c>
      <c r="C7" s="175">
        <v>100</v>
      </c>
    </row>
    <row r="8" spans="1:3" ht="14.25" x14ac:dyDescent="0.2">
      <c r="A8" s="173" t="s">
        <v>124</v>
      </c>
      <c r="B8" s="174">
        <v>64159</v>
      </c>
      <c r="C8" s="175">
        <v>100</v>
      </c>
    </row>
    <row r="9" spans="1:3" ht="14.25" x14ac:dyDescent="0.2">
      <c r="A9" s="173" t="s">
        <v>125</v>
      </c>
      <c r="B9" s="174">
        <v>66125</v>
      </c>
      <c r="C9" s="175">
        <v>100</v>
      </c>
    </row>
    <row r="10" spans="1:3" ht="15" x14ac:dyDescent="0.25">
      <c r="A10" s="183" t="s">
        <v>72</v>
      </c>
      <c r="B10" s="184"/>
      <c r="C10" s="184"/>
    </row>
    <row r="11" spans="1:3" ht="14.25" x14ac:dyDescent="0.2">
      <c r="A11" s="173" t="s">
        <v>121</v>
      </c>
      <c r="B11" s="174" t="s">
        <v>88</v>
      </c>
      <c r="C11" s="175">
        <v>11.56</v>
      </c>
    </row>
    <row r="12" spans="1:3" ht="14.25" x14ac:dyDescent="0.2">
      <c r="A12" s="173" t="s">
        <v>126</v>
      </c>
      <c r="B12" s="174" t="s">
        <v>88</v>
      </c>
      <c r="C12" s="175">
        <v>4.4000000000000004</v>
      </c>
    </row>
    <row r="13" spans="1:3" ht="14.25" x14ac:dyDescent="0.2">
      <c r="A13" s="173" t="s">
        <v>127</v>
      </c>
      <c r="B13" s="174" t="s">
        <v>88</v>
      </c>
      <c r="C13" s="175">
        <v>3.06</v>
      </c>
    </row>
    <row r="14" spans="1:3" ht="15" x14ac:dyDescent="0.25">
      <c r="A14" s="183" t="s">
        <v>38</v>
      </c>
      <c r="B14" s="184"/>
      <c r="C14" s="184"/>
    </row>
    <row r="15" spans="1:3" ht="14.25" x14ac:dyDescent="0.2">
      <c r="A15" s="173" t="s">
        <v>71</v>
      </c>
      <c r="B15" s="174">
        <v>21273</v>
      </c>
      <c r="C15" s="175">
        <v>100</v>
      </c>
    </row>
    <row r="16" spans="1:3" ht="14.25" x14ac:dyDescent="0.2">
      <c r="A16" s="173" t="s">
        <v>120</v>
      </c>
      <c r="B16" s="174">
        <v>24331</v>
      </c>
      <c r="C16" s="175">
        <v>100</v>
      </c>
    </row>
    <row r="17" spans="1:3" ht="14.25" x14ac:dyDescent="0.2">
      <c r="A17" s="173" t="s">
        <v>124</v>
      </c>
      <c r="B17" s="174">
        <v>25938</v>
      </c>
      <c r="C17" s="175">
        <v>100</v>
      </c>
    </row>
    <row r="18" spans="1:3" ht="14.25" x14ac:dyDescent="0.2">
      <c r="A18" s="173" t="s">
        <v>125</v>
      </c>
      <c r="B18" s="174">
        <v>27010</v>
      </c>
      <c r="C18" s="175">
        <v>100</v>
      </c>
    </row>
    <row r="19" spans="1:3" ht="15" x14ac:dyDescent="0.25">
      <c r="A19" s="183" t="s">
        <v>73</v>
      </c>
      <c r="B19" s="184"/>
      <c r="C19" s="184"/>
    </row>
    <row r="20" spans="1:3" ht="14.25" x14ac:dyDescent="0.2">
      <c r="A20" s="173" t="s">
        <v>121</v>
      </c>
      <c r="B20" s="174" t="s">
        <v>88</v>
      </c>
      <c r="C20" s="175">
        <v>14.38</v>
      </c>
    </row>
    <row r="21" spans="1:3" ht="14.25" x14ac:dyDescent="0.2">
      <c r="A21" s="173" t="s">
        <v>126</v>
      </c>
      <c r="B21" s="174" t="s">
        <v>88</v>
      </c>
      <c r="C21" s="175">
        <v>6.61</v>
      </c>
    </row>
    <row r="22" spans="1:3" ht="14.25" x14ac:dyDescent="0.2">
      <c r="A22" s="173" t="s">
        <v>127</v>
      </c>
      <c r="B22" s="174" t="s">
        <v>88</v>
      </c>
      <c r="C22" s="175">
        <v>4.13</v>
      </c>
    </row>
    <row r="23" spans="1:3" ht="15" x14ac:dyDescent="0.25">
      <c r="A23" s="183" t="s">
        <v>74</v>
      </c>
      <c r="B23" s="184"/>
      <c r="C23" s="184"/>
    </row>
    <row r="24" spans="1:3" ht="14.25" x14ac:dyDescent="0.2">
      <c r="A24" s="173" t="s">
        <v>71</v>
      </c>
      <c r="B24" s="174">
        <v>14007</v>
      </c>
      <c r="C24" s="175">
        <v>100</v>
      </c>
    </row>
    <row r="25" spans="1:3" ht="14.25" x14ac:dyDescent="0.2">
      <c r="A25" s="173" t="s">
        <v>120</v>
      </c>
      <c r="B25" s="174">
        <v>15473</v>
      </c>
      <c r="C25" s="175">
        <v>100</v>
      </c>
    </row>
    <row r="26" spans="1:3" ht="14.25" x14ac:dyDescent="0.2">
      <c r="A26" s="173" t="s">
        <v>124</v>
      </c>
      <c r="B26" s="174">
        <v>16424</v>
      </c>
      <c r="C26" s="175">
        <v>100</v>
      </c>
    </row>
    <row r="27" spans="1:3" ht="14.25" x14ac:dyDescent="0.2">
      <c r="A27" s="173" t="s">
        <v>125</v>
      </c>
      <c r="B27" s="174">
        <v>17093</v>
      </c>
      <c r="C27" s="175">
        <v>100</v>
      </c>
    </row>
    <row r="28" spans="1:3" ht="15" x14ac:dyDescent="0.25">
      <c r="A28" s="183" t="s">
        <v>75</v>
      </c>
      <c r="B28" s="184"/>
      <c r="C28" s="184"/>
    </row>
    <row r="29" spans="1:3" ht="14.25" x14ac:dyDescent="0.2">
      <c r="A29" s="173" t="s">
        <v>121</v>
      </c>
      <c r="B29" s="174" t="s">
        <v>88</v>
      </c>
      <c r="C29" s="175">
        <v>10.47</v>
      </c>
    </row>
    <row r="30" spans="1:3" ht="14.25" x14ac:dyDescent="0.2">
      <c r="A30" s="173" t="s">
        <v>126</v>
      </c>
      <c r="B30" s="174" t="s">
        <v>88</v>
      </c>
      <c r="C30" s="175">
        <v>6.15</v>
      </c>
    </row>
    <row r="31" spans="1:3" ht="14.25" x14ac:dyDescent="0.2">
      <c r="A31" s="173" t="s">
        <v>127</v>
      </c>
      <c r="B31" s="174" t="s">
        <v>88</v>
      </c>
      <c r="C31" s="175">
        <v>4.07</v>
      </c>
    </row>
  </sheetData>
  <mergeCells count="6">
    <mergeCell ref="A28:C28"/>
    <mergeCell ref="A14:C14"/>
    <mergeCell ref="A10:C10"/>
    <mergeCell ref="A5:C5"/>
    <mergeCell ref="A23:C23"/>
    <mergeCell ref="A19:C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303E-98B9-4C1D-A590-65BB6BD65B11}">
  <dimension ref="A1:C45"/>
  <sheetViews>
    <sheetView workbookViewId="0">
      <selection sqref="A1:XFD1048576"/>
    </sheetView>
  </sheetViews>
  <sheetFormatPr defaultRowHeight="12.75" x14ac:dyDescent="0.2"/>
  <cols>
    <col min="1" max="1" width="56.5" bestFit="1" customWidth="1"/>
    <col min="2" max="2" width="7.375" bestFit="1" customWidth="1"/>
    <col min="3" max="3" width="10.875" bestFit="1" customWidth="1"/>
  </cols>
  <sheetData>
    <row r="1" spans="1:3" ht="30" x14ac:dyDescent="0.4">
      <c r="A1" t="s">
        <v>128</v>
      </c>
    </row>
    <row r="2" spans="1:3" ht="15" x14ac:dyDescent="0.2">
      <c r="A2" s="130" t="s">
        <v>161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129</v>
      </c>
      <c r="B5" s="184"/>
      <c r="C5" s="184"/>
    </row>
    <row r="6" spans="1:3" ht="14.25" x14ac:dyDescent="0.2">
      <c r="A6" s="173" t="s">
        <v>76</v>
      </c>
      <c r="B6" s="174">
        <v>41257</v>
      </c>
      <c r="C6" s="175">
        <v>64.3</v>
      </c>
    </row>
    <row r="7" spans="1:3" ht="14.25" x14ac:dyDescent="0.2">
      <c r="A7" s="173" t="s">
        <v>77</v>
      </c>
      <c r="B7" s="174">
        <v>12690</v>
      </c>
      <c r="C7" s="175">
        <v>19.78</v>
      </c>
    </row>
    <row r="8" spans="1:3" ht="14.25" x14ac:dyDescent="0.2">
      <c r="A8" s="173" t="s">
        <v>78</v>
      </c>
      <c r="B8" s="174">
        <v>189</v>
      </c>
      <c r="C8" s="175">
        <v>0.28999999999999998</v>
      </c>
    </row>
    <row r="9" spans="1:3" ht="14.25" x14ac:dyDescent="0.2">
      <c r="A9" s="173" t="s">
        <v>79</v>
      </c>
      <c r="B9" s="174">
        <v>2411</v>
      </c>
      <c r="C9" s="175">
        <v>3.76</v>
      </c>
    </row>
    <row r="10" spans="1:3" ht="14.25" x14ac:dyDescent="0.2">
      <c r="A10" s="173" t="s">
        <v>80</v>
      </c>
      <c r="B10" s="174">
        <v>80</v>
      </c>
      <c r="C10" s="175">
        <v>0.13</v>
      </c>
    </row>
    <row r="11" spans="1:3" ht="14.25" x14ac:dyDescent="0.2">
      <c r="A11" s="173" t="s">
        <v>81</v>
      </c>
      <c r="B11" s="174">
        <v>2031</v>
      </c>
      <c r="C11" s="175">
        <v>3.17</v>
      </c>
    </row>
    <row r="12" spans="1:3" ht="14.25" x14ac:dyDescent="0.2">
      <c r="A12" s="173" t="s">
        <v>82</v>
      </c>
      <c r="B12" s="174">
        <v>5502</v>
      </c>
      <c r="C12" s="175">
        <v>8.58</v>
      </c>
    </row>
    <row r="13" spans="1:3" ht="15" x14ac:dyDescent="0.25">
      <c r="A13" s="183" t="s">
        <v>130</v>
      </c>
      <c r="B13" s="184"/>
      <c r="C13" s="184"/>
    </row>
    <row r="14" spans="1:3" ht="14.25" x14ac:dyDescent="0.2">
      <c r="A14" s="173" t="s">
        <v>83</v>
      </c>
      <c r="B14" s="174">
        <v>5500</v>
      </c>
      <c r="C14" s="175">
        <v>8.57</v>
      </c>
    </row>
    <row r="15" spans="1:3" ht="14.25" x14ac:dyDescent="0.2">
      <c r="A15" s="173" t="s">
        <v>84</v>
      </c>
      <c r="B15" s="174">
        <v>58660</v>
      </c>
      <c r="C15" s="175">
        <v>91.43</v>
      </c>
    </row>
    <row r="16" spans="1:3" ht="15" x14ac:dyDescent="0.25">
      <c r="A16" s="183" t="s">
        <v>131</v>
      </c>
      <c r="B16" s="184"/>
      <c r="C16" s="184"/>
    </row>
    <row r="17" spans="1:3" ht="14.25" x14ac:dyDescent="0.2">
      <c r="A17" s="173" t="s">
        <v>85</v>
      </c>
      <c r="B17" s="174">
        <v>16196</v>
      </c>
      <c r="C17" s="175">
        <v>62.44</v>
      </c>
    </row>
    <row r="18" spans="1:3" ht="14.25" x14ac:dyDescent="0.2">
      <c r="A18" s="173" t="s">
        <v>86</v>
      </c>
      <c r="B18" s="174">
        <v>9742</v>
      </c>
      <c r="C18" s="175">
        <v>37.56</v>
      </c>
    </row>
    <row r="19" spans="1:3" ht="14.25" x14ac:dyDescent="0.2">
      <c r="A19" s="173" t="s">
        <v>87</v>
      </c>
      <c r="B19" s="174" t="s">
        <v>88</v>
      </c>
      <c r="C19" s="175">
        <v>2.25</v>
      </c>
    </row>
    <row r="20" spans="1:3" ht="15" x14ac:dyDescent="0.25">
      <c r="A20" s="183" t="s">
        <v>132</v>
      </c>
      <c r="B20" s="184"/>
      <c r="C20" s="184"/>
    </row>
    <row r="21" spans="1:3" ht="14.25" x14ac:dyDescent="0.2">
      <c r="A21" s="173" t="s">
        <v>89</v>
      </c>
      <c r="B21" s="174">
        <v>1114</v>
      </c>
      <c r="C21" s="175">
        <v>4.29</v>
      </c>
    </row>
    <row r="22" spans="1:3" ht="14.25" x14ac:dyDescent="0.2">
      <c r="A22" s="173" t="s">
        <v>26</v>
      </c>
      <c r="B22" s="174">
        <v>1335</v>
      </c>
      <c r="C22" s="175">
        <v>5.15</v>
      </c>
    </row>
    <row r="23" spans="1:3" ht="14.25" x14ac:dyDescent="0.2">
      <c r="A23" s="173" t="s">
        <v>27</v>
      </c>
      <c r="B23" s="174">
        <v>1715</v>
      </c>
      <c r="C23" s="175">
        <v>6.61</v>
      </c>
    </row>
    <row r="24" spans="1:3" ht="14.25" x14ac:dyDescent="0.2">
      <c r="A24" s="173" t="s">
        <v>28</v>
      </c>
      <c r="B24" s="174">
        <v>2375</v>
      </c>
      <c r="C24" s="175">
        <v>9.16</v>
      </c>
    </row>
    <row r="25" spans="1:3" ht="14.25" x14ac:dyDescent="0.2">
      <c r="A25" s="173" t="s">
        <v>29</v>
      </c>
      <c r="B25" s="174">
        <v>4183</v>
      </c>
      <c r="C25" s="175">
        <v>16.13</v>
      </c>
    </row>
    <row r="26" spans="1:3" ht="14.25" x14ac:dyDescent="0.2">
      <c r="A26" s="173" t="s">
        <v>30</v>
      </c>
      <c r="B26" s="174">
        <v>2918</v>
      </c>
      <c r="C26" s="175">
        <v>11.25</v>
      </c>
    </row>
    <row r="27" spans="1:3" ht="14.25" x14ac:dyDescent="0.2">
      <c r="A27" s="173" t="s">
        <v>31</v>
      </c>
      <c r="B27" s="174">
        <v>2642</v>
      </c>
      <c r="C27" s="175">
        <v>10.19</v>
      </c>
    </row>
    <row r="28" spans="1:3" ht="14.25" x14ac:dyDescent="0.2">
      <c r="A28" s="173" t="s">
        <v>32</v>
      </c>
      <c r="B28" s="174">
        <v>2471</v>
      </c>
      <c r="C28" s="175">
        <v>9.5299999999999994</v>
      </c>
    </row>
    <row r="29" spans="1:3" ht="14.25" x14ac:dyDescent="0.2">
      <c r="A29" s="173" t="s">
        <v>33</v>
      </c>
      <c r="B29" s="174">
        <v>2938</v>
      </c>
      <c r="C29" s="175">
        <v>11.33</v>
      </c>
    </row>
    <row r="30" spans="1:3" ht="14.25" x14ac:dyDescent="0.2">
      <c r="A30" s="173" t="s">
        <v>90</v>
      </c>
      <c r="B30" s="174">
        <v>1460</v>
      </c>
      <c r="C30" s="175">
        <v>5.63</v>
      </c>
    </row>
    <row r="31" spans="1:3" ht="14.25" x14ac:dyDescent="0.2">
      <c r="A31" s="173" t="s">
        <v>91</v>
      </c>
      <c r="B31" s="174">
        <v>1789</v>
      </c>
      <c r="C31" s="175">
        <v>6.9</v>
      </c>
    </row>
    <row r="32" spans="1:3" ht="14.25" x14ac:dyDescent="0.2">
      <c r="A32" s="173" t="s">
        <v>92</v>
      </c>
      <c r="B32" s="174">
        <v>996</v>
      </c>
      <c r="C32" s="175">
        <v>3.84</v>
      </c>
    </row>
    <row r="33" spans="1:3" ht="14.25" x14ac:dyDescent="0.2">
      <c r="A33" s="173" t="s">
        <v>93</v>
      </c>
      <c r="B33" s="174" t="s">
        <v>88</v>
      </c>
      <c r="C33" s="175">
        <v>129555</v>
      </c>
    </row>
    <row r="34" spans="1:3" ht="14.25" x14ac:dyDescent="0.2">
      <c r="A34" s="173" t="s">
        <v>34</v>
      </c>
      <c r="B34" s="174" t="s">
        <v>88</v>
      </c>
      <c r="C34" s="175">
        <v>93777.68</v>
      </c>
    </row>
    <row r="35" spans="1:3" ht="15" x14ac:dyDescent="0.25">
      <c r="A35" s="183" t="s">
        <v>133</v>
      </c>
      <c r="B35" s="184"/>
      <c r="C35" s="184"/>
    </row>
    <row r="36" spans="1:3" ht="14.25" x14ac:dyDescent="0.2">
      <c r="A36" s="173" t="s">
        <v>76</v>
      </c>
      <c r="B36" s="174" t="s">
        <v>88</v>
      </c>
      <c r="C36" s="175">
        <v>102605.64</v>
      </c>
    </row>
    <row r="37" spans="1:3" ht="14.25" x14ac:dyDescent="0.2">
      <c r="A37" s="173" t="s">
        <v>77</v>
      </c>
      <c r="B37" s="174" t="s">
        <v>88</v>
      </c>
      <c r="C37" s="175">
        <v>63759.21</v>
      </c>
    </row>
    <row r="38" spans="1:3" ht="14.25" x14ac:dyDescent="0.2">
      <c r="A38" s="173" t="s">
        <v>78</v>
      </c>
      <c r="B38" s="174" t="s">
        <v>88</v>
      </c>
      <c r="C38" s="175">
        <v>200000.32</v>
      </c>
    </row>
    <row r="39" spans="1:3" ht="14.25" x14ac:dyDescent="0.2">
      <c r="A39" s="173" t="s">
        <v>79</v>
      </c>
      <c r="B39" s="174" t="s">
        <v>88</v>
      </c>
      <c r="C39" s="175">
        <v>67105.759999999995</v>
      </c>
    </row>
    <row r="40" spans="1:3" ht="14.25" x14ac:dyDescent="0.2">
      <c r="A40" s="173" t="s">
        <v>80</v>
      </c>
      <c r="B40" s="174" t="s">
        <v>88</v>
      </c>
      <c r="C40" s="175">
        <v>32633.09</v>
      </c>
    </row>
    <row r="41" spans="1:3" ht="14.25" x14ac:dyDescent="0.2">
      <c r="A41" s="173" t="s">
        <v>81</v>
      </c>
      <c r="B41" s="174" t="s">
        <v>88</v>
      </c>
      <c r="C41" s="175">
        <v>46614.28</v>
      </c>
    </row>
    <row r="42" spans="1:3" ht="14.25" x14ac:dyDescent="0.2">
      <c r="A42" s="173" t="s">
        <v>82</v>
      </c>
      <c r="B42" s="174" t="s">
        <v>88</v>
      </c>
      <c r="C42" s="175">
        <v>94148.52</v>
      </c>
    </row>
    <row r="43" spans="1:3" ht="15" x14ac:dyDescent="0.25">
      <c r="A43" s="183" t="s">
        <v>134</v>
      </c>
      <c r="B43" s="184"/>
      <c r="C43" s="184"/>
    </row>
    <row r="44" spans="1:3" ht="14.25" x14ac:dyDescent="0.2">
      <c r="A44" s="173" t="s">
        <v>83</v>
      </c>
      <c r="B44" s="174" t="s">
        <v>88</v>
      </c>
      <c r="C44" s="175">
        <v>55571.72</v>
      </c>
    </row>
    <row r="45" spans="1:3" ht="14.25" x14ac:dyDescent="0.2">
      <c r="A45" s="173" t="s">
        <v>84</v>
      </c>
      <c r="B45" s="174" t="s">
        <v>88</v>
      </c>
      <c r="C45" s="175">
        <v>95926.04</v>
      </c>
    </row>
  </sheetData>
  <mergeCells count="6">
    <mergeCell ref="A35:C35"/>
    <mergeCell ref="A43:C43"/>
    <mergeCell ref="A5:C5"/>
    <mergeCell ref="A13:C13"/>
    <mergeCell ref="A16:C16"/>
    <mergeCell ref="A20:C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8FEC-0267-4432-98ED-0656CB7F69B8}">
  <dimension ref="A1:C35"/>
  <sheetViews>
    <sheetView workbookViewId="0">
      <selection sqref="A1:XFD1048576"/>
    </sheetView>
  </sheetViews>
  <sheetFormatPr defaultRowHeight="12.75" x14ac:dyDescent="0.2"/>
  <cols>
    <col min="1" max="1" width="36.5" bestFit="1" customWidth="1"/>
    <col min="2" max="2" width="13.5" bestFit="1" customWidth="1"/>
    <col min="3" max="3" width="10.875" bestFit="1" customWidth="1"/>
  </cols>
  <sheetData>
    <row r="1" spans="1:3" ht="30" x14ac:dyDescent="0.4">
      <c r="A1" t="s">
        <v>135</v>
      </c>
    </row>
    <row r="2" spans="1:3" ht="15" x14ac:dyDescent="0.2">
      <c r="A2" s="130" t="s">
        <v>161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136</v>
      </c>
      <c r="B5" s="184"/>
      <c r="C5" s="184"/>
    </row>
    <row r="6" spans="1:3" ht="14.25" x14ac:dyDescent="0.2">
      <c r="A6" s="173" t="s">
        <v>37</v>
      </c>
      <c r="B6" s="174">
        <v>64159</v>
      </c>
      <c r="C6" s="175">
        <v>100</v>
      </c>
    </row>
    <row r="7" spans="1:3" ht="14.25" x14ac:dyDescent="0.2">
      <c r="A7" s="173" t="s">
        <v>38</v>
      </c>
      <c r="B7" s="174">
        <v>25938</v>
      </c>
      <c r="C7" s="175">
        <v>100</v>
      </c>
    </row>
    <row r="8" spans="1:3" ht="14.25" x14ac:dyDescent="0.2">
      <c r="A8" s="173" t="s">
        <v>39</v>
      </c>
      <c r="B8" s="174">
        <v>16424</v>
      </c>
      <c r="C8" s="175">
        <v>100</v>
      </c>
    </row>
    <row r="9" spans="1:3" ht="14.25" x14ac:dyDescent="0.2">
      <c r="A9" s="173" t="s">
        <v>40</v>
      </c>
      <c r="B9" s="174">
        <v>6032</v>
      </c>
      <c r="C9" s="175">
        <v>9.4</v>
      </c>
    </row>
    <row r="10" spans="1:3" ht="14.25" x14ac:dyDescent="0.2">
      <c r="A10" s="173" t="s">
        <v>41</v>
      </c>
      <c r="B10" s="174">
        <v>28809</v>
      </c>
      <c r="C10" s="175">
        <v>100</v>
      </c>
    </row>
    <row r="11" spans="1:3" ht="15" x14ac:dyDescent="0.25">
      <c r="A11" s="183" t="s">
        <v>137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2.25</v>
      </c>
    </row>
    <row r="13" spans="1:3" ht="15" x14ac:dyDescent="0.25">
      <c r="A13" s="183" t="s">
        <v>138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41.66</v>
      </c>
    </row>
    <row r="15" spans="1:3" ht="15" x14ac:dyDescent="0.25">
      <c r="A15" s="183" t="s">
        <v>139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93777.68</v>
      </c>
    </row>
    <row r="17" spans="1:3" ht="15" x14ac:dyDescent="0.25">
      <c r="A17" s="183" t="s">
        <v>140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506354.79</v>
      </c>
    </row>
    <row r="19" spans="1:3" ht="15" x14ac:dyDescent="0.25">
      <c r="A19" s="183" t="s">
        <v>141</v>
      </c>
      <c r="B19" s="184"/>
      <c r="C19" s="184"/>
    </row>
    <row r="20" spans="1:3" ht="14.25" x14ac:dyDescent="0.2">
      <c r="A20" s="173" t="s">
        <v>42</v>
      </c>
      <c r="B20" s="174">
        <v>1082</v>
      </c>
      <c r="C20" s="175">
        <v>4.17</v>
      </c>
    </row>
    <row r="21" spans="1:3" ht="14.25" x14ac:dyDescent="0.2">
      <c r="A21" s="173" t="s">
        <v>43</v>
      </c>
      <c r="B21" s="174">
        <v>1408</v>
      </c>
      <c r="C21" s="175">
        <v>5.43</v>
      </c>
    </row>
    <row r="22" spans="1:3" ht="14.25" x14ac:dyDescent="0.2">
      <c r="A22" s="173" t="s">
        <v>44</v>
      </c>
      <c r="B22" s="174">
        <v>1915</v>
      </c>
      <c r="C22" s="175">
        <v>7.38</v>
      </c>
    </row>
    <row r="23" spans="1:3" ht="14.25" x14ac:dyDescent="0.2">
      <c r="A23" s="173" t="s">
        <v>45</v>
      </c>
      <c r="B23" s="174">
        <v>3153</v>
      </c>
      <c r="C23" s="175">
        <v>12.16</v>
      </c>
    </row>
    <row r="24" spans="1:3" ht="14.25" x14ac:dyDescent="0.2">
      <c r="A24" s="173" t="s">
        <v>46</v>
      </c>
      <c r="B24" s="174">
        <v>4838</v>
      </c>
      <c r="C24" s="175">
        <v>18.649999999999999</v>
      </c>
    </row>
    <row r="25" spans="1:3" ht="14.25" x14ac:dyDescent="0.2">
      <c r="A25" s="173" t="s">
        <v>47</v>
      </c>
      <c r="B25" s="174">
        <v>3675</v>
      </c>
      <c r="C25" s="175">
        <v>14.17</v>
      </c>
    </row>
    <row r="26" spans="1:3" ht="14.25" x14ac:dyDescent="0.2">
      <c r="A26" s="173" t="s">
        <v>48</v>
      </c>
      <c r="B26" s="174">
        <v>3109</v>
      </c>
      <c r="C26" s="175">
        <v>11.99</v>
      </c>
    </row>
    <row r="27" spans="1:3" ht="14.25" x14ac:dyDescent="0.2">
      <c r="A27" s="173" t="s">
        <v>49</v>
      </c>
      <c r="B27" s="174">
        <v>2069</v>
      </c>
      <c r="C27" s="175">
        <v>7.98</v>
      </c>
    </row>
    <row r="28" spans="1:3" ht="14.25" x14ac:dyDescent="0.2">
      <c r="A28" s="173" t="s">
        <v>50</v>
      </c>
      <c r="B28" s="174">
        <v>2016</v>
      </c>
      <c r="C28" s="175">
        <v>7.77</v>
      </c>
    </row>
    <row r="29" spans="1:3" ht="14.25" x14ac:dyDescent="0.2">
      <c r="A29" s="173" t="s">
        <v>51</v>
      </c>
      <c r="B29" s="174">
        <v>501</v>
      </c>
      <c r="C29" s="175">
        <v>1.93</v>
      </c>
    </row>
    <row r="30" spans="1:3" ht="14.25" x14ac:dyDescent="0.2">
      <c r="A30" s="173" t="s">
        <v>52</v>
      </c>
      <c r="B30" s="174">
        <v>1640</v>
      </c>
      <c r="C30" s="175">
        <v>6.32</v>
      </c>
    </row>
    <row r="31" spans="1:3" ht="14.25" x14ac:dyDescent="0.2">
      <c r="A31" s="173" t="s">
        <v>53</v>
      </c>
      <c r="B31" s="174">
        <v>531</v>
      </c>
      <c r="C31" s="175">
        <v>2.0499999999999998</v>
      </c>
    </row>
    <row r="32" spans="1:3" ht="15" x14ac:dyDescent="0.25">
      <c r="A32" s="183" t="s">
        <v>142</v>
      </c>
      <c r="B32" s="184"/>
      <c r="C32" s="184"/>
    </row>
    <row r="33" spans="1:3" ht="14.25" x14ac:dyDescent="0.2">
      <c r="A33" s="173" t="s">
        <v>95</v>
      </c>
      <c r="B33" s="174" t="s">
        <v>88</v>
      </c>
      <c r="C33" s="175">
        <v>108476</v>
      </c>
    </row>
    <row r="34" spans="1:3" ht="14.25" x14ac:dyDescent="0.2">
      <c r="A34" s="173" t="s">
        <v>96</v>
      </c>
      <c r="B34" s="174" t="s">
        <v>88</v>
      </c>
      <c r="C34" s="175">
        <v>78497.63</v>
      </c>
    </row>
    <row r="35" spans="1:3" ht="14.25" x14ac:dyDescent="0.2">
      <c r="A35" s="173" t="s">
        <v>97</v>
      </c>
      <c r="B35" s="174">
        <v>2813621006</v>
      </c>
      <c r="C35" s="175">
        <v>108474.86</v>
      </c>
    </row>
  </sheetData>
  <mergeCells count="7">
    <mergeCell ref="A32:C32"/>
    <mergeCell ref="A5:C5"/>
    <mergeCell ref="A11:C11"/>
    <mergeCell ref="A13:C13"/>
    <mergeCell ref="A15:C15"/>
    <mergeCell ref="A17:C17"/>
    <mergeCell ref="A19:C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D22C-A7AC-4093-BB2C-553679D61768}">
  <dimension ref="A1:C35"/>
  <sheetViews>
    <sheetView workbookViewId="0">
      <selection sqref="A1:XFD1048576"/>
    </sheetView>
  </sheetViews>
  <sheetFormatPr defaultRowHeight="12.75" x14ac:dyDescent="0.2"/>
  <cols>
    <col min="1" max="1" width="39.375" bestFit="1" customWidth="1"/>
    <col min="2" max="2" width="13.5" bestFit="1" customWidth="1"/>
    <col min="3" max="3" width="10.875" bestFit="1" customWidth="1"/>
  </cols>
  <sheetData>
    <row r="1" spans="1:3" ht="30" x14ac:dyDescent="0.4">
      <c r="A1" t="s">
        <v>143</v>
      </c>
    </row>
    <row r="2" spans="1:3" ht="15" x14ac:dyDescent="0.2">
      <c r="A2" s="130" t="s">
        <v>161</v>
      </c>
    </row>
    <row r="3" spans="1:3" ht="15" x14ac:dyDescent="0.2">
      <c r="A3" s="130" t="s">
        <v>108</v>
      </c>
    </row>
    <row r="4" spans="1:3" ht="14.25" x14ac:dyDescent="0.2">
      <c r="A4" s="171"/>
      <c r="B4" s="172" t="s">
        <v>36</v>
      </c>
      <c r="C4" s="172" t="s">
        <v>35</v>
      </c>
    </row>
    <row r="5" spans="1:3" ht="15" x14ac:dyDescent="0.25">
      <c r="A5" s="183" t="s">
        <v>144</v>
      </c>
      <c r="B5" s="184"/>
      <c r="C5" s="184"/>
    </row>
    <row r="6" spans="1:3" ht="14.25" x14ac:dyDescent="0.2">
      <c r="A6" s="173" t="s">
        <v>37</v>
      </c>
      <c r="B6" s="174">
        <v>66125</v>
      </c>
      <c r="C6" s="175">
        <v>100</v>
      </c>
    </row>
    <row r="7" spans="1:3" ht="14.25" x14ac:dyDescent="0.2">
      <c r="A7" s="173" t="s">
        <v>38</v>
      </c>
      <c r="B7" s="174">
        <v>27010</v>
      </c>
      <c r="C7" s="175">
        <v>100</v>
      </c>
    </row>
    <row r="8" spans="1:3" ht="14.25" x14ac:dyDescent="0.2">
      <c r="A8" s="173" t="s">
        <v>39</v>
      </c>
      <c r="B8" s="174">
        <v>17093</v>
      </c>
      <c r="C8" s="175">
        <v>100</v>
      </c>
    </row>
    <row r="9" spans="1:3" ht="14.25" x14ac:dyDescent="0.2">
      <c r="A9" s="173" t="s">
        <v>40</v>
      </c>
      <c r="B9" s="174">
        <v>6131</v>
      </c>
      <c r="C9" s="175">
        <v>9.27</v>
      </c>
    </row>
    <row r="10" spans="1:3" ht="14.25" x14ac:dyDescent="0.2">
      <c r="A10" s="173" t="s">
        <v>41</v>
      </c>
      <c r="B10" s="174">
        <v>30002</v>
      </c>
      <c r="C10" s="175">
        <v>100</v>
      </c>
    </row>
    <row r="11" spans="1:3" ht="15" x14ac:dyDescent="0.25">
      <c r="A11" s="183" t="s">
        <v>145</v>
      </c>
      <c r="B11" s="184"/>
      <c r="C11" s="184"/>
    </row>
    <row r="12" spans="1:3" ht="14.25" x14ac:dyDescent="0.2">
      <c r="A12" s="173" t="s">
        <v>87</v>
      </c>
      <c r="B12" s="174" t="s">
        <v>88</v>
      </c>
      <c r="C12" s="175">
        <v>2.2400000000000002</v>
      </c>
    </row>
    <row r="13" spans="1:3" ht="15" x14ac:dyDescent="0.25">
      <c r="A13" s="183" t="s">
        <v>146</v>
      </c>
      <c r="B13" s="184"/>
      <c r="C13" s="184"/>
    </row>
    <row r="14" spans="1:3" ht="14.25" x14ac:dyDescent="0.2">
      <c r="A14" s="173" t="s">
        <v>66</v>
      </c>
      <c r="B14" s="174" t="s">
        <v>88</v>
      </c>
      <c r="C14" s="175">
        <v>42.84</v>
      </c>
    </row>
    <row r="15" spans="1:3" ht="15" x14ac:dyDescent="0.25">
      <c r="A15" s="183" t="s">
        <v>147</v>
      </c>
      <c r="B15" s="184"/>
      <c r="C15" s="184"/>
    </row>
    <row r="16" spans="1:3" ht="14.25" x14ac:dyDescent="0.2">
      <c r="A16" s="173" t="s">
        <v>34</v>
      </c>
      <c r="B16" s="174" t="s">
        <v>88</v>
      </c>
      <c r="C16" s="175">
        <v>103039.89</v>
      </c>
    </row>
    <row r="17" spans="1:3" ht="15" x14ac:dyDescent="0.25">
      <c r="A17" s="183" t="s">
        <v>148</v>
      </c>
      <c r="B17" s="184"/>
      <c r="C17" s="184"/>
    </row>
    <row r="18" spans="1:3" ht="14.25" x14ac:dyDescent="0.2">
      <c r="A18" s="173" t="s">
        <v>94</v>
      </c>
      <c r="B18" s="174" t="s">
        <v>88</v>
      </c>
      <c r="C18" s="175">
        <v>587125.59</v>
      </c>
    </row>
    <row r="19" spans="1:3" ht="15" x14ac:dyDescent="0.25">
      <c r="A19" s="183" t="s">
        <v>149</v>
      </c>
      <c r="B19" s="184"/>
      <c r="C19" s="184"/>
    </row>
    <row r="20" spans="1:3" ht="14.25" x14ac:dyDescent="0.2">
      <c r="A20" s="173" t="s">
        <v>54</v>
      </c>
      <c r="B20" s="174">
        <v>1048</v>
      </c>
      <c r="C20" s="175">
        <v>3.88</v>
      </c>
    </row>
    <row r="21" spans="1:3" ht="14.25" x14ac:dyDescent="0.2">
      <c r="A21" s="173" t="s">
        <v>55</v>
      </c>
      <c r="B21" s="174">
        <v>1214</v>
      </c>
      <c r="C21" s="175">
        <v>4.5</v>
      </c>
    </row>
    <row r="22" spans="1:3" ht="14.25" x14ac:dyDescent="0.2">
      <c r="A22" s="173" t="s">
        <v>56</v>
      </c>
      <c r="B22" s="174">
        <v>1862</v>
      </c>
      <c r="C22" s="175">
        <v>6.89</v>
      </c>
    </row>
    <row r="23" spans="1:3" ht="14.25" x14ac:dyDescent="0.2">
      <c r="A23" s="173" t="s">
        <v>57</v>
      </c>
      <c r="B23" s="174">
        <v>2949</v>
      </c>
      <c r="C23" s="175">
        <v>10.92</v>
      </c>
    </row>
    <row r="24" spans="1:3" ht="14.25" x14ac:dyDescent="0.2">
      <c r="A24" s="173" t="s">
        <v>58</v>
      </c>
      <c r="B24" s="174">
        <v>4802</v>
      </c>
      <c r="C24" s="175">
        <v>17.78</v>
      </c>
    </row>
    <row r="25" spans="1:3" ht="14.25" x14ac:dyDescent="0.2">
      <c r="A25" s="173" t="s">
        <v>59</v>
      </c>
      <c r="B25" s="174">
        <v>3710</v>
      </c>
      <c r="C25" s="175">
        <v>13.74</v>
      </c>
    </row>
    <row r="26" spans="1:3" ht="14.25" x14ac:dyDescent="0.2">
      <c r="A26" s="173" t="s">
        <v>60</v>
      </c>
      <c r="B26" s="174">
        <v>3113</v>
      </c>
      <c r="C26" s="175">
        <v>11.53</v>
      </c>
    </row>
    <row r="27" spans="1:3" ht="14.25" x14ac:dyDescent="0.2">
      <c r="A27" s="173" t="s">
        <v>61</v>
      </c>
      <c r="B27" s="174">
        <v>2325</v>
      </c>
      <c r="C27" s="175">
        <v>8.61</v>
      </c>
    </row>
    <row r="28" spans="1:3" ht="14.25" x14ac:dyDescent="0.2">
      <c r="A28" s="173" t="s">
        <v>62</v>
      </c>
      <c r="B28" s="174">
        <v>2572</v>
      </c>
      <c r="C28" s="175">
        <v>9.52</v>
      </c>
    </row>
    <row r="29" spans="1:3" ht="14.25" x14ac:dyDescent="0.2">
      <c r="A29" s="173" t="s">
        <v>63</v>
      </c>
      <c r="B29" s="174">
        <v>615</v>
      </c>
      <c r="C29" s="175">
        <v>2.2799999999999998</v>
      </c>
    </row>
    <row r="30" spans="1:3" ht="14.25" x14ac:dyDescent="0.2">
      <c r="A30" s="173" t="s">
        <v>64</v>
      </c>
      <c r="B30" s="174">
        <v>2080</v>
      </c>
      <c r="C30" s="175">
        <v>7.7</v>
      </c>
    </row>
    <row r="31" spans="1:3" ht="14.25" x14ac:dyDescent="0.2">
      <c r="A31" s="173" t="s">
        <v>65</v>
      </c>
      <c r="B31" s="174">
        <v>721</v>
      </c>
      <c r="C31" s="175">
        <v>2.67</v>
      </c>
    </row>
    <row r="32" spans="1:3" ht="15" x14ac:dyDescent="0.25">
      <c r="A32" s="183" t="s">
        <v>150</v>
      </c>
      <c r="B32" s="184"/>
      <c r="C32" s="184"/>
    </row>
    <row r="33" spans="1:3" ht="14.25" x14ac:dyDescent="0.2">
      <c r="A33" s="173" t="s">
        <v>115</v>
      </c>
      <c r="B33" s="174" t="s">
        <v>88</v>
      </c>
      <c r="C33" s="175">
        <v>119267</v>
      </c>
    </row>
    <row r="34" spans="1:3" ht="14.25" x14ac:dyDescent="0.2">
      <c r="A34" s="173" t="s">
        <v>114</v>
      </c>
      <c r="B34" s="174" t="s">
        <v>88</v>
      </c>
      <c r="C34" s="175">
        <v>85279.65</v>
      </c>
    </row>
    <row r="35" spans="1:3" ht="14.25" x14ac:dyDescent="0.2">
      <c r="A35" s="173" t="s">
        <v>116</v>
      </c>
      <c r="B35" s="174">
        <v>3216656480</v>
      </c>
      <c r="C35" s="175">
        <v>119091.32</v>
      </c>
    </row>
  </sheetData>
  <mergeCells count="7">
    <mergeCell ref="A32:C32"/>
    <mergeCell ref="A5:C5"/>
    <mergeCell ref="A11:C11"/>
    <mergeCell ref="A13:C13"/>
    <mergeCell ref="A15:C15"/>
    <mergeCell ref="A17:C17"/>
    <mergeCell ref="A19:C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636D-3727-4DDC-98AB-B7E087057DCA}">
  <dimension ref="A1:Q35"/>
  <sheetViews>
    <sheetView workbookViewId="0">
      <selection sqref="A1:XFD1048576"/>
    </sheetView>
  </sheetViews>
  <sheetFormatPr defaultRowHeight="12.75" x14ac:dyDescent="0.2"/>
  <cols>
    <col min="1" max="1" width="25.125" bestFit="1" customWidth="1"/>
    <col min="2" max="2" width="6.375" bestFit="1" customWidth="1"/>
    <col min="3" max="3" width="9.875" bestFit="1" customWidth="1"/>
    <col min="4" max="4" width="6.375" bestFit="1" customWidth="1"/>
    <col min="5" max="5" width="10.875" bestFit="1" customWidth="1"/>
    <col min="6" max="6" width="6.375" bestFit="1" customWidth="1"/>
    <col min="7" max="7" width="10.875" bestFit="1" customWidth="1"/>
    <col min="8" max="8" width="6.375" bestFit="1" customWidth="1"/>
    <col min="9" max="9" width="10.875" bestFit="1" customWidth="1"/>
    <col min="10" max="10" width="6.375" bestFit="1" customWidth="1"/>
    <col min="11" max="11" width="10.875" bestFit="1" customWidth="1"/>
    <col min="12" max="12" width="6.375" bestFit="1" customWidth="1"/>
    <col min="13" max="13" width="10.875" bestFit="1" customWidth="1"/>
    <col min="14" max="14" width="6.375" bestFit="1" customWidth="1"/>
    <col min="15" max="15" width="10.875" bestFit="1" customWidth="1"/>
    <col min="16" max="16" width="6.375" bestFit="1" customWidth="1"/>
    <col min="17" max="17" width="9.875" bestFit="1" customWidth="1"/>
  </cols>
  <sheetData>
    <row r="1" spans="1:17" ht="30" x14ac:dyDescent="0.4">
      <c r="A1" t="s">
        <v>151</v>
      </c>
    </row>
    <row r="2" spans="1:17" ht="15" x14ac:dyDescent="0.2">
      <c r="A2" s="130" t="s">
        <v>161</v>
      </c>
    </row>
    <row r="3" spans="1:17" ht="15" x14ac:dyDescent="0.2">
      <c r="A3" s="130" t="s">
        <v>108</v>
      </c>
    </row>
    <row r="4" spans="1:17" ht="14.25" x14ac:dyDescent="0.2">
      <c r="A4" s="176"/>
      <c r="B4" s="185" t="s">
        <v>98</v>
      </c>
      <c r="C4" s="184"/>
      <c r="D4" s="185" t="s">
        <v>99</v>
      </c>
      <c r="E4" s="184"/>
      <c r="F4" s="185" t="s">
        <v>100</v>
      </c>
      <c r="G4" s="184"/>
      <c r="H4" s="185" t="s">
        <v>101</v>
      </c>
      <c r="I4" s="184"/>
      <c r="J4" s="185" t="s">
        <v>102</v>
      </c>
      <c r="K4" s="184"/>
      <c r="L4" s="185" t="s">
        <v>103</v>
      </c>
      <c r="M4" s="184"/>
      <c r="N4" s="185" t="s">
        <v>104</v>
      </c>
      <c r="O4" s="184"/>
      <c r="P4" s="185" t="s">
        <v>24</v>
      </c>
      <c r="Q4" s="184"/>
    </row>
    <row r="5" spans="1:17" ht="14.25" x14ac:dyDescent="0.2">
      <c r="A5" s="171"/>
      <c r="B5" s="172" t="s">
        <v>109</v>
      </c>
      <c r="C5" s="172" t="s">
        <v>35</v>
      </c>
      <c r="D5" s="172" t="s">
        <v>109</v>
      </c>
      <c r="E5" s="172" t="s">
        <v>35</v>
      </c>
      <c r="F5" s="172" t="s">
        <v>109</v>
      </c>
      <c r="G5" s="172" t="s">
        <v>35</v>
      </c>
      <c r="H5" s="172" t="s">
        <v>109</v>
      </c>
      <c r="I5" s="172" t="s">
        <v>35</v>
      </c>
      <c r="J5" s="172" t="s">
        <v>109</v>
      </c>
      <c r="K5" s="172" t="s">
        <v>35</v>
      </c>
      <c r="L5" s="172" t="s">
        <v>109</v>
      </c>
      <c r="M5" s="172" t="s">
        <v>35</v>
      </c>
      <c r="N5" s="172" t="s">
        <v>109</v>
      </c>
      <c r="O5" s="172" t="s">
        <v>35</v>
      </c>
      <c r="P5" s="172" t="s">
        <v>109</v>
      </c>
      <c r="Q5" s="172" t="s">
        <v>35</v>
      </c>
    </row>
    <row r="6" spans="1:17" ht="15" x14ac:dyDescent="0.25">
      <c r="A6" s="183" t="s">
        <v>152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4.25" x14ac:dyDescent="0.2">
      <c r="A7" s="173" t="s">
        <v>25</v>
      </c>
      <c r="B7" s="174">
        <v>1150</v>
      </c>
      <c r="C7" s="175">
        <v>4.43</v>
      </c>
      <c r="D7" s="174">
        <v>3400</v>
      </c>
      <c r="E7" s="175">
        <v>13.11</v>
      </c>
      <c r="F7" s="174">
        <v>3846</v>
      </c>
      <c r="G7" s="175">
        <v>14.83</v>
      </c>
      <c r="H7" s="174">
        <v>3518</v>
      </c>
      <c r="I7" s="175">
        <v>13.56</v>
      </c>
      <c r="J7" s="174">
        <v>4162</v>
      </c>
      <c r="K7" s="175">
        <v>16.05</v>
      </c>
      <c r="L7" s="174">
        <v>4775</v>
      </c>
      <c r="M7" s="175">
        <v>18.41</v>
      </c>
      <c r="N7" s="174">
        <v>3605</v>
      </c>
      <c r="O7" s="175">
        <v>13.9</v>
      </c>
      <c r="P7" s="174">
        <v>1482</v>
      </c>
      <c r="Q7" s="175">
        <v>5.71</v>
      </c>
    </row>
    <row r="8" spans="1:17" ht="15" x14ac:dyDescent="0.25">
      <c r="A8" s="183" t="s">
        <v>153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14.25" x14ac:dyDescent="0.2">
      <c r="A9" s="173" t="s">
        <v>110</v>
      </c>
      <c r="B9" s="174">
        <v>321</v>
      </c>
      <c r="C9" s="175">
        <v>27.91</v>
      </c>
      <c r="D9" s="174">
        <v>96</v>
      </c>
      <c r="E9" s="175">
        <v>2.82</v>
      </c>
      <c r="F9" s="174">
        <v>83</v>
      </c>
      <c r="G9" s="175">
        <v>2.16</v>
      </c>
      <c r="H9" s="174">
        <v>58</v>
      </c>
      <c r="I9" s="175">
        <v>1.65</v>
      </c>
      <c r="J9" s="174">
        <v>110</v>
      </c>
      <c r="K9" s="175">
        <v>2.64</v>
      </c>
      <c r="L9" s="174">
        <v>167</v>
      </c>
      <c r="M9" s="175">
        <v>3.5</v>
      </c>
      <c r="N9" s="174">
        <v>177</v>
      </c>
      <c r="O9" s="175">
        <v>4.91</v>
      </c>
      <c r="P9" s="174">
        <v>102</v>
      </c>
      <c r="Q9" s="175">
        <v>6.88</v>
      </c>
    </row>
    <row r="10" spans="1:17" ht="14.25" x14ac:dyDescent="0.2">
      <c r="A10" s="173" t="s">
        <v>26</v>
      </c>
      <c r="B10" s="174">
        <v>89</v>
      </c>
      <c r="C10" s="175">
        <v>7.74</v>
      </c>
      <c r="D10" s="174">
        <v>155</v>
      </c>
      <c r="E10" s="175">
        <v>4.5599999999999996</v>
      </c>
      <c r="F10" s="174">
        <v>127</v>
      </c>
      <c r="G10" s="175">
        <v>3.3</v>
      </c>
      <c r="H10" s="174">
        <v>115</v>
      </c>
      <c r="I10" s="175">
        <v>3.27</v>
      </c>
      <c r="J10" s="174">
        <v>203</v>
      </c>
      <c r="K10" s="175">
        <v>4.88</v>
      </c>
      <c r="L10" s="174">
        <v>211</v>
      </c>
      <c r="M10" s="175">
        <v>4.42</v>
      </c>
      <c r="N10" s="174">
        <v>268</v>
      </c>
      <c r="O10" s="175">
        <v>7.43</v>
      </c>
      <c r="P10" s="174">
        <v>167</v>
      </c>
      <c r="Q10" s="175">
        <v>11.27</v>
      </c>
    </row>
    <row r="11" spans="1:17" ht="14.25" x14ac:dyDescent="0.2">
      <c r="A11" s="173" t="s">
        <v>27</v>
      </c>
      <c r="B11" s="174">
        <v>138</v>
      </c>
      <c r="C11" s="175">
        <v>12</v>
      </c>
      <c r="D11" s="174">
        <v>200</v>
      </c>
      <c r="E11" s="175">
        <v>5.88</v>
      </c>
      <c r="F11" s="174">
        <v>153</v>
      </c>
      <c r="G11" s="175">
        <v>3.98</v>
      </c>
      <c r="H11" s="174">
        <v>161</v>
      </c>
      <c r="I11" s="175">
        <v>4.58</v>
      </c>
      <c r="J11" s="174">
        <v>247</v>
      </c>
      <c r="K11" s="175">
        <v>5.93</v>
      </c>
      <c r="L11" s="174">
        <v>289</v>
      </c>
      <c r="M11" s="175">
        <v>6.05</v>
      </c>
      <c r="N11" s="174">
        <v>346</v>
      </c>
      <c r="O11" s="175">
        <v>9.6</v>
      </c>
      <c r="P11" s="174">
        <v>180</v>
      </c>
      <c r="Q11" s="175">
        <v>12.15</v>
      </c>
    </row>
    <row r="12" spans="1:17" ht="14.25" x14ac:dyDescent="0.2">
      <c r="A12" s="173" t="s">
        <v>28</v>
      </c>
      <c r="B12" s="174">
        <v>201</v>
      </c>
      <c r="C12" s="175">
        <v>17.48</v>
      </c>
      <c r="D12" s="174">
        <v>409</v>
      </c>
      <c r="E12" s="175">
        <v>12.03</v>
      </c>
      <c r="F12" s="174">
        <v>345</v>
      </c>
      <c r="G12" s="175">
        <v>8.9700000000000006</v>
      </c>
      <c r="H12" s="174">
        <v>212</v>
      </c>
      <c r="I12" s="175">
        <v>6.03</v>
      </c>
      <c r="J12" s="174">
        <v>286</v>
      </c>
      <c r="K12" s="175">
        <v>6.87</v>
      </c>
      <c r="L12" s="174">
        <v>384</v>
      </c>
      <c r="M12" s="175">
        <v>8.0399999999999991</v>
      </c>
      <c r="N12" s="174">
        <v>365</v>
      </c>
      <c r="O12" s="175">
        <v>10.130000000000001</v>
      </c>
      <c r="P12" s="174">
        <v>175</v>
      </c>
      <c r="Q12" s="175">
        <v>11.81</v>
      </c>
    </row>
    <row r="13" spans="1:17" ht="14.25" x14ac:dyDescent="0.2">
      <c r="A13" s="173" t="s">
        <v>29</v>
      </c>
      <c r="B13" s="174">
        <v>137</v>
      </c>
      <c r="C13" s="175">
        <v>11.91</v>
      </c>
      <c r="D13" s="174">
        <v>920</v>
      </c>
      <c r="E13" s="175">
        <v>27.06</v>
      </c>
      <c r="F13" s="174">
        <v>874</v>
      </c>
      <c r="G13" s="175">
        <v>22.73</v>
      </c>
      <c r="H13" s="174">
        <v>340</v>
      </c>
      <c r="I13" s="175">
        <v>9.66</v>
      </c>
      <c r="J13" s="174">
        <v>454</v>
      </c>
      <c r="K13" s="175">
        <v>10.91</v>
      </c>
      <c r="L13" s="174">
        <v>697</v>
      </c>
      <c r="M13" s="175">
        <v>14.6</v>
      </c>
      <c r="N13" s="174">
        <v>542</v>
      </c>
      <c r="O13" s="175">
        <v>15.04</v>
      </c>
      <c r="P13" s="174">
        <v>219</v>
      </c>
      <c r="Q13" s="175">
        <v>14.78</v>
      </c>
    </row>
    <row r="14" spans="1:17" ht="14.25" x14ac:dyDescent="0.2">
      <c r="A14" s="173" t="s">
        <v>30</v>
      </c>
      <c r="B14" s="174">
        <v>88</v>
      </c>
      <c r="C14" s="175">
        <v>7.65</v>
      </c>
      <c r="D14" s="174">
        <v>512</v>
      </c>
      <c r="E14" s="175">
        <v>15.06</v>
      </c>
      <c r="F14" s="174">
        <v>501</v>
      </c>
      <c r="G14" s="175">
        <v>13.03</v>
      </c>
      <c r="H14" s="174">
        <v>280</v>
      </c>
      <c r="I14" s="175">
        <v>7.96</v>
      </c>
      <c r="J14" s="174">
        <v>343</v>
      </c>
      <c r="K14" s="175">
        <v>8.24</v>
      </c>
      <c r="L14" s="174">
        <v>619</v>
      </c>
      <c r="M14" s="175">
        <v>12.96</v>
      </c>
      <c r="N14" s="174">
        <v>421</v>
      </c>
      <c r="O14" s="175">
        <v>11.68</v>
      </c>
      <c r="P14" s="174">
        <v>155</v>
      </c>
      <c r="Q14" s="175">
        <v>10.46</v>
      </c>
    </row>
    <row r="15" spans="1:17" ht="14.25" x14ac:dyDescent="0.2">
      <c r="A15" s="173" t="s">
        <v>31</v>
      </c>
      <c r="B15" s="174">
        <v>146</v>
      </c>
      <c r="C15" s="175">
        <v>12.7</v>
      </c>
      <c r="D15" s="174">
        <v>319</v>
      </c>
      <c r="E15" s="175">
        <v>9.3800000000000008</v>
      </c>
      <c r="F15" s="174">
        <v>395</v>
      </c>
      <c r="G15" s="175">
        <v>10.27</v>
      </c>
      <c r="H15" s="174">
        <v>367</v>
      </c>
      <c r="I15" s="175">
        <v>10.43</v>
      </c>
      <c r="J15" s="174">
        <v>420</v>
      </c>
      <c r="K15" s="175">
        <v>10.09</v>
      </c>
      <c r="L15" s="174">
        <v>548</v>
      </c>
      <c r="M15" s="175">
        <v>11.48</v>
      </c>
      <c r="N15" s="174">
        <v>344</v>
      </c>
      <c r="O15" s="175">
        <v>9.5399999999999991</v>
      </c>
      <c r="P15" s="174">
        <v>102</v>
      </c>
      <c r="Q15" s="175">
        <v>6.88</v>
      </c>
    </row>
    <row r="16" spans="1:17" ht="14.25" x14ac:dyDescent="0.2">
      <c r="A16" s="173" t="s">
        <v>32</v>
      </c>
      <c r="B16" s="174">
        <v>9</v>
      </c>
      <c r="C16" s="175">
        <v>0.78</v>
      </c>
      <c r="D16" s="174">
        <v>366</v>
      </c>
      <c r="E16" s="175">
        <v>10.77</v>
      </c>
      <c r="F16" s="174">
        <v>550</v>
      </c>
      <c r="G16" s="175">
        <v>14.3</v>
      </c>
      <c r="H16" s="174">
        <v>364</v>
      </c>
      <c r="I16" s="175">
        <v>10.35</v>
      </c>
      <c r="J16" s="174">
        <v>391</v>
      </c>
      <c r="K16" s="175">
        <v>9.39</v>
      </c>
      <c r="L16" s="174">
        <v>443</v>
      </c>
      <c r="M16" s="175">
        <v>9.2799999999999994</v>
      </c>
      <c r="N16" s="174">
        <v>264</v>
      </c>
      <c r="O16" s="175">
        <v>7.32</v>
      </c>
      <c r="P16" s="174">
        <v>84</v>
      </c>
      <c r="Q16" s="175">
        <v>5.67</v>
      </c>
    </row>
    <row r="17" spans="1:17" ht="14.25" x14ac:dyDescent="0.2">
      <c r="A17" s="173" t="s">
        <v>33</v>
      </c>
      <c r="B17" s="174">
        <v>21</v>
      </c>
      <c r="C17" s="175">
        <v>1.83</v>
      </c>
      <c r="D17" s="174">
        <v>259</v>
      </c>
      <c r="E17" s="175">
        <v>7.62</v>
      </c>
      <c r="F17" s="174">
        <v>435</v>
      </c>
      <c r="G17" s="175">
        <v>11.31</v>
      </c>
      <c r="H17" s="174">
        <v>532</v>
      </c>
      <c r="I17" s="175">
        <v>15.12</v>
      </c>
      <c r="J17" s="174">
        <v>550</v>
      </c>
      <c r="K17" s="175">
        <v>13.21</v>
      </c>
      <c r="L17" s="174">
        <v>639</v>
      </c>
      <c r="M17" s="175">
        <v>13.38</v>
      </c>
      <c r="N17" s="174">
        <v>380</v>
      </c>
      <c r="O17" s="175">
        <v>10.54</v>
      </c>
      <c r="P17" s="174">
        <v>122</v>
      </c>
      <c r="Q17" s="175">
        <v>8.23</v>
      </c>
    </row>
    <row r="18" spans="1:17" ht="14.25" x14ac:dyDescent="0.2">
      <c r="A18" s="173" t="s">
        <v>111</v>
      </c>
      <c r="B18" s="174">
        <v>1</v>
      </c>
      <c r="C18" s="175">
        <v>0.09</v>
      </c>
      <c r="D18" s="174">
        <v>166</v>
      </c>
      <c r="E18" s="175">
        <v>4.88</v>
      </c>
      <c r="F18" s="174">
        <v>382</v>
      </c>
      <c r="G18" s="175">
        <v>9.93</v>
      </c>
      <c r="H18" s="174">
        <v>1090</v>
      </c>
      <c r="I18" s="175">
        <v>30.98</v>
      </c>
      <c r="J18" s="174">
        <v>1157</v>
      </c>
      <c r="K18" s="175">
        <v>27.8</v>
      </c>
      <c r="L18" s="174">
        <v>778</v>
      </c>
      <c r="M18" s="175">
        <v>16.29</v>
      </c>
      <c r="N18" s="174">
        <v>495</v>
      </c>
      <c r="O18" s="175">
        <v>13.73</v>
      </c>
      <c r="P18" s="174">
        <v>176</v>
      </c>
      <c r="Q18" s="175">
        <v>11.88</v>
      </c>
    </row>
    <row r="19" spans="1:17" ht="14.25" x14ac:dyDescent="0.2">
      <c r="A19" s="173" t="s">
        <v>105</v>
      </c>
      <c r="B19" s="174" t="s">
        <v>88</v>
      </c>
      <c r="C19" s="175">
        <v>36917.760000000002</v>
      </c>
      <c r="D19" s="174" t="s">
        <v>88</v>
      </c>
      <c r="E19" s="175">
        <v>72573.3</v>
      </c>
      <c r="F19" s="174" t="s">
        <v>88</v>
      </c>
      <c r="G19" s="175">
        <v>90843.62</v>
      </c>
      <c r="H19" s="174" t="s">
        <v>88</v>
      </c>
      <c r="I19" s="175">
        <v>140224.21</v>
      </c>
      <c r="J19" s="174" t="s">
        <v>88</v>
      </c>
      <c r="K19" s="175">
        <v>126063.86</v>
      </c>
      <c r="L19" s="174" t="s">
        <v>88</v>
      </c>
      <c r="M19" s="175">
        <v>100873.37</v>
      </c>
      <c r="N19" s="174" t="s">
        <v>88</v>
      </c>
      <c r="O19" s="175">
        <v>80573.88</v>
      </c>
      <c r="P19" s="174" t="s">
        <v>88</v>
      </c>
      <c r="Q19" s="175">
        <v>62265.04</v>
      </c>
    </row>
    <row r="20" spans="1:17" ht="14.25" x14ac:dyDescent="0.2">
      <c r="A20" s="173" t="s">
        <v>154</v>
      </c>
      <c r="B20" s="174" t="s">
        <v>88</v>
      </c>
      <c r="C20" s="175">
        <v>50378</v>
      </c>
      <c r="D20" s="174" t="s">
        <v>88</v>
      </c>
      <c r="E20" s="175">
        <v>98658</v>
      </c>
      <c r="F20" s="174" t="s">
        <v>88</v>
      </c>
      <c r="G20" s="175">
        <v>115087</v>
      </c>
      <c r="H20" s="174" t="s">
        <v>88</v>
      </c>
      <c r="I20" s="175">
        <v>152101</v>
      </c>
      <c r="J20" s="174" t="s">
        <v>88</v>
      </c>
      <c r="K20" s="175">
        <v>135247</v>
      </c>
      <c r="L20" s="174" t="s">
        <v>88</v>
      </c>
      <c r="M20" s="175">
        <v>113224</v>
      </c>
      <c r="N20" s="174" t="s">
        <v>88</v>
      </c>
      <c r="O20" s="175">
        <v>95132</v>
      </c>
      <c r="P20" s="174" t="s">
        <v>88</v>
      </c>
      <c r="Q20" s="175">
        <v>82034</v>
      </c>
    </row>
    <row r="21" spans="1:17" ht="15" x14ac:dyDescent="0.25">
      <c r="A21" s="183" t="s">
        <v>155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</row>
    <row r="22" spans="1:17" ht="14.25" x14ac:dyDescent="0.2">
      <c r="A22" s="173" t="s">
        <v>25</v>
      </c>
      <c r="B22" s="174">
        <v>1103</v>
      </c>
      <c r="C22" s="175">
        <v>4.08</v>
      </c>
      <c r="D22" s="174">
        <v>3298</v>
      </c>
      <c r="E22" s="175">
        <v>12.21</v>
      </c>
      <c r="F22" s="174">
        <v>4070</v>
      </c>
      <c r="G22" s="175">
        <v>15.07</v>
      </c>
      <c r="H22" s="174">
        <v>3883</v>
      </c>
      <c r="I22" s="175">
        <v>14.38</v>
      </c>
      <c r="J22" s="174">
        <v>3737</v>
      </c>
      <c r="K22" s="175">
        <v>13.84</v>
      </c>
      <c r="L22" s="174">
        <v>5018</v>
      </c>
      <c r="M22" s="175">
        <v>18.579999999999998</v>
      </c>
      <c r="N22" s="174">
        <v>4280</v>
      </c>
      <c r="O22" s="175">
        <v>15.85</v>
      </c>
      <c r="P22" s="174">
        <v>1621</v>
      </c>
      <c r="Q22" s="175">
        <v>6</v>
      </c>
    </row>
    <row r="23" spans="1:17" ht="15" x14ac:dyDescent="0.25">
      <c r="A23" s="183" t="s">
        <v>156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</row>
    <row r="24" spans="1:17" ht="14.25" x14ac:dyDescent="0.2">
      <c r="A24" s="173" t="s">
        <v>110</v>
      </c>
      <c r="B24" s="174">
        <v>290</v>
      </c>
      <c r="C24" s="175">
        <v>26.29</v>
      </c>
      <c r="D24" s="174">
        <v>95</v>
      </c>
      <c r="E24" s="175">
        <v>2.88</v>
      </c>
      <c r="F24" s="174">
        <v>83</v>
      </c>
      <c r="G24" s="175">
        <v>2.04</v>
      </c>
      <c r="H24" s="174">
        <v>57</v>
      </c>
      <c r="I24" s="175">
        <v>1.47</v>
      </c>
      <c r="J24" s="174">
        <v>89</v>
      </c>
      <c r="K24" s="175">
        <v>2.38</v>
      </c>
      <c r="L24" s="174">
        <v>154</v>
      </c>
      <c r="M24" s="175">
        <v>3.07</v>
      </c>
      <c r="N24" s="174">
        <v>201</v>
      </c>
      <c r="O24" s="175">
        <v>4.7</v>
      </c>
      <c r="P24" s="174">
        <v>109</v>
      </c>
      <c r="Q24" s="175">
        <v>6.72</v>
      </c>
    </row>
    <row r="25" spans="1:17" ht="14.25" x14ac:dyDescent="0.2">
      <c r="A25" s="173" t="s">
        <v>26</v>
      </c>
      <c r="B25" s="174">
        <v>71</v>
      </c>
      <c r="C25" s="175">
        <v>6.44</v>
      </c>
      <c r="D25" s="174">
        <v>123</v>
      </c>
      <c r="E25" s="175">
        <v>3.73</v>
      </c>
      <c r="F25" s="174">
        <v>114</v>
      </c>
      <c r="G25" s="175">
        <v>2.8</v>
      </c>
      <c r="H25" s="174">
        <v>99</v>
      </c>
      <c r="I25" s="175">
        <v>2.5499999999999998</v>
      </c>
      <c r="J25" s="174">
        <v>140</v>
      </c>
      <c r="K25" s="175">
        <v>3.75</v>
      </c>
      <c r="L25" s="174">
        <v>182</v>
      </c>
      <c r="M25" s="175">
        <v>3.63</v>
      </c>
      <c r="N25" s="174">
        <v>263</v>
      </c>
      <c r="O25" s="175">
        <v>6.14</v>
      </c>
      <c r="P25" s="174">
        <v>151</v>
      </c>
      <c r="Q25" s="175">
        <v>9.31</v>
      </c>
    </row>
    <row r="26" spans="1:17" ht="14.25" x14ac:dyDescent="0.2">
      <c r="A26" s="173" t="s">
        <v>27</v>
      </c>
      <c r="B26" s="174">
        <v>147</v>
      </c>
      <c r="C26" s="175">
        <v>13.33</v>
      </c>
      <c r="D26" s="174">
        <v>180</v>
      </c>
      <c r="E26" s="175">
        <v>5.46</v>
      </c>
      <c r="F26" s="174">
        <v>155</v>
      </c>
      <c r="G26" s="175">
        <v>3.81</v>
      </c>
      <c r="H26" s="174">
        <v>161</v>
      </c>
      <c r="I26" s="175">
        <v>4.1500000000000004</v>
      </c>
      <c r="J26" s="174">
        <v>198</v>
      </c>
      <c r="K26" s="175">
        <v>5.3</v>
      </c>
      <c r="L26" s="174">
        <v>263</v>
      </c>
      <c r="M26" s="175">
        <v>5.24</v>
      </c>
      <c r="N26" s="174">
        <v>359</v>
      </c>
      <c r="O26" s="175">
        <v>8.39</v>
      </c>
      <c r="P26" s="174">
        <v>185</v>
      </c>
      <c r="Q26" s="175">
        <v>11.41</v>
      </c>
    </row>
    <row r="27" spans="1:17" ht="14.25" x14ac:dyDescent="0.2">
      <c r="A27" s="173" t="s">
        <v>28</v>
      </c>
      <c r="B27" s="174">
        <v>181</v>
      </c>
      <c r="C27" s="175">
        <v>16.41</v>
      </c>
      <c r="D27" s="174">
        <v>376</v>
      </c>
      <c r="E27" s="175">
        <v>11.4</v>
      </c>
      <c r="F27" s="174">
        <v>330</v>
      </c>
      <c r="G27" s="175">
        <v>8.11</v>
      </c>
      <c r="H27" s="174">
        <v>198</v>
      </c>
      <c r="I27" s="175">
        <v>5.0999999999999996</v>
      </c>
      <c r="J27" s="174">
        <v>204</v>
      </c>
      <c r="K27" s="175">
        <v>5.46</v>
      </c>
      <c r="L27" s="174">
        <v>378</v>
      </c>
      <c r="M27" s="175">
        <v>7.53</v>
      </c>
      <c r="N27" s="174">
        <v>403</v>
      </c>
      <c r="O27" s="175">
        <v>9.42</v>
      </c>
      <c r="P27" s="174">
        <v>180</v>
      </c>
      <c r="Q27" s="175">
        <v>11.1</v>
      </c>
    </row>
    <row r="28" spans="1:17" ht="14.25" x14ac:dyDescent="0.2">
      <c r="A28" s="173" t="s">
        <v>29</v>
      </c>
      <c r="B28" s="174">
        <v>139</v>
      </c>
      <c r="C28" s="175">
        <v>12.6</v>
      </c>
      <c r="D28" s="174">
        <v>860</v>
      </c>
      <c r="E28" s="175">
        <v>26.08</v>
      </c>
      <c r="F28" s="174">
        <v>828</v>
      </c>
      <c r="G28" s="175">
        <v>20.34</v>
      </c>
      <c r="H28" s="174">
        <v>309</v>
      </c>
      <c r="I28" s="175">
        <v>7.96</v>
      </c>
      <c r="J28" s="174">
        <v>339</v>
      </c>
      <c r="K28" s="175">
        <v>9.07</v>
      </c>
      <c r="L28" s="174">
        <v>692</v>
      </c>
      <c r="M28" s="175">
        <v>13.79</v>
      </c>
      <c r="N28" s="174">
        <v>618</v>
      </c>
      <c r="O28" s="175">
        <v>14.44</v>
      </c>
      <c r="P28" s="174">
        <v>228</v>
      </c>
      <c r="Q28" s="175">
        <v>14.06</v>
      </c>
    </row>
    <row r="29" spans="1:17" ht="14.25" x14ac:dyDescent="0.2">
      <c r="A29" s="173" t="s">
        <v>30</v>
      </c>
      <c r="B29" s="174">
        <v>90</v>
      </c>
      <c r="C29" s="175">
        <v>8.16</v>
      </c>
      <c r="D29" s="174">
        <v>520</v>
      </c>
      <c r="E29" s="175">
        <v>15.77</v>
      </c>
      <c r="F29" s="174">
        <v>558</v>
      </c>
      <c r="G29" s="175">
        <v>13.71</v>
      </c>
      <c r="H29" s="174">
        <v>289</v>
      </c>
      <c r="I29" s="175">
        <v>7.44</v>
      </c>
      <c r="J29" s="174">
        <v>298</v>
      </c>
      <c r="K29" s="175">
        <v>7.97</v>
      </c>
      <c r="L29" s="174">
        <v>631</v>
      </c>
      <c r="M29" s="175">
        <v>12.57</v>
      </c>
      <c r="N29" s="174">
        <v>484</v>
      </c>
      <c r="O29" s="175">
        <v>11.31</v>
      </c>
      <c r="P29" s="174">
        <v>166</v>
      </c>
      <c r="Q29" s="175">
        <v>10.24</v>
      </c>
    </row>
    <row r="30" spans="1:17" ht="14.25" x14ac:dyDescent="0.2">
      <c r="A30" s="173" t="s">
        <v>31</v>
      </c>
      <c r="B30" s="174">
        <v>148</v>
      </c>
      <c r="C30" s="175">
        <v>13.42</v>
      </c>
      <c r="D30" s="174">
        <v>294</v>
      </c>
      <c r="E30" s="175">
        <v>8.91</v>
      </c>
      <c r="F30" s="174">
        <v>420</v>
      </c>
      <c r="G30" s="175">
        <v>10.32</v>
      </c>
      <c r="H30" s="174">
        <v>359</v>
      </c>
      <c r="I30" s="175">
        <v>9.24</v>
      </c>
      <c r="J30" s="174">
        <v>346</v>
      </c>
      <c r="K30" s="175">
        <v>9.26</v>
      </c>
      <c r="L30" s="174">
        <v>544</v>
      </c>
      <c r="M30" s="175">
        <v>10.84</v>
      </c>
      <c r="N30" s="174">
        <v>401</v>
      </c>
      <c r="O30" s="175">
        <v>9.3699999999999992</v>
      </c>
      <c r="P30" s="174">
        <v>112</v>
      </c>
      <c r="Q30" s="175">
        <v>6.91</v>
      </c>
    </row>
    <row r="31" spans="1:17" ht="14.25" x14ac:dyDescent="0.2">
      <c r="A31" s="173" t="s">
        <v>32</v>
      </c>
      <c r="B31" s="174">
        <v>14</v>
      </c>
      <c r="C31" s="175">
        <v>1.27</v>
      </c>
      <c r="D31" s="174">
        <v>345</v>
      </c>
      <c r="E31" s="175">
        <v>10.46</v>
      </c>
      <c r="F31" s="174">
        <v>526</v>
      </c>
      <c r="G31" s="175">
        <v>12.92</v>
      </c>
      <c r="H31" s="174">
        <v>374</v>
      </c>
      <c r="I31" s="175">
        <v>9.6300000000000008</v>
      </c>
      <c r="J31" s="174">
        <v>327</v>
      </c>
      <c r="K31" s="175">
        <v>8.75</v>
      </c>
      <c r="L31" s="174">
        <v>446</v>
      </c>
      <c r="M31" s="175">
        <v>8.89</v>
      </c>
      <c r="N31" s="174">
        <v>306</v>
      </c>
      <c r="O31" s="175">
        <v>7.15</v>
      </c>
      <c r="P31" s="174">
        <v>92</v>
      </c>
      <c r="Q31" s="175">
        <v>5.67</v>
      </c>
    </row>
    <row r="32" spans="1:17" ht="14.25" x14ac:dyDescent="0.2">
      <c r="A32" s="173" t="s">
        <v>33</v>
      </c>
      <c r="B32" s="174">
        <v>20</v>
      </c>
      <c r="C32" s="175">
        <v>1.81</v>
      </c>
      <c r="D32" s="174">
        <v>284</v>
      </c>
      <c r="E32" s="175">
        <v>8.61</v>
      </c>
      <c r="F32" s="174">
        <v>546</v>
      </c>
      <c r="G32" s="175">
        <v>13.41</v>
      </c>
      <c r="H32" s="174">
        <v>612</v>
      </c>
      <c r="I32" s="175">
        <v>15.76</v>
      </c>
      <c r="J32" s="174">
        <v>529</v>
      </c>
      <c r="K32" s="175">
        <v>14.16</v>
      </c>
      <c r="L32" s="174">
        <v>697</v>
      </c>
      <c r="M32" s="175">
        <v>13.89</v>
      </c>
      <c r="N32" s="174">
        <v>471</v>
      </c>
      <c r="O32" s="175">
        <v>11.01</v>
      </c>
      <c r="P32" s="174">
        <v>140</v>
      </c>
      <c r="Q32" s="175">
        <v>8.64</v>
      </c>
    </row>
    <row r="33" spans="1:17" ht="14.25" x14ac:dyDescent="0.2">
      <c r="A33" s="173" t="s">
        <v>111</v>
      </c>
      <c r="B33" s="174">
        <v>2</v>
      </c>
      <c r="C33" s="175">
        <v>0.18</v>
      </c>
      <c r="D33" s="174">
        <v>223</v>
      </c>
      <c r="E33" s="175">
        <v>6.76</v>
      </c>
      <c r="F33" s="174">
        <v>510</v>
      </c>
      <c r="G33" s="175">
        <v>12.53</v>
      </c>
      <c r="H33" s="174">
        <v>1424</v>
      </c>
      <c r="I33" s="175">
        <v>36.67</v>
      </c>
      <c r="J33" s="174">
        <v>1268</v>
      </c>
      <c r="K33" s="175">
        <v>33.93</v>
      </c>
      <c r="L33" s="174">
        <v>1031</v>
      </c>
      <c r="M33" s="175">
        <v>20.55</v>
      </c>
      <c r="N33" s="174">
        <v>772</v>
      </c>
      <c r="O33" s="175">
        <v>18.04</v>
      </c>
      <c r="P33" s="174">
        <v>258</v>
      </c>
      <c r="Q33" s="175">
        <v>15.92</v>
      </c>
    </row>
    <row r="34" spans="1:17" ht="14.25" x14ac:dyDescent="0.2">
      <c r="A34" s="173" t="s">
        <v>105</v>
      </c>
      <c r="B34" s="174" t="s">
        <v>88</v>
      </c>
      <c r="C34" s="175">
        <v>38172.5</v>
      </c>
      <c r="D34" s="174" t="s">
        <v>88</v>
      </c>
      <c r="E34" s="175">
        <v>75599.13</v>
      </c>
      <c r="F34" s="174" t="s">
        <v>88</v>
      </c>
      <c r="G34" s="175">
        <v>98279.7</v>
      </c>
      <c r="H34" s="174" t="s">
        <v>88</v>
      </c>
      <c r="I34" s="175">
        <v>184849.14</v>
      </c>
      <c r="J34" s="174" t="s">
        <v>88</v>
      </c>
      <c r="K34" s="175">
        <v>144261.42000000001</v>
      </c>
      <c r="L34" s="174" t="s">
        <v>88</v>
      </c>
      <c r="M34" s="175">
        <v>109117.33</v>
      </c>
      <c r="N34" s="174" t="s">
        <v>88</v>
      </c>
      <c r="O34" s="175">
        <v>89588.07</v>
      </c>
      <c r="P34" s="174" t="s">
        <v>88</v>
      </c>
      <c r="Q34" s="175">
        <v>69700.58</v>
      </c>
    </row>
    <row r="35" spans="1:17" ht="14.25" x14ac:dyDescent="0.2">
      <c r="A35" s="173" t="s">
        <v>154</v>
      </c>
      <c r="B35" s="174" t="s">
        <v>88</v>
      </c>
      <c r="C35" s="175">
        <v>53178</v>
      </c>
      <c r="D35" s="174" t="s">
        <v>88</v>
      </c>
      <c r="E35" s="175">
        <v>100132</v>
      </c>
      <c r="F35" s="174" t="s">
        <v>88</v>
      </c>
      <c r="G35" s="175">
        <v>125641</v>
      </c>
      <c r="H35" s="174" t="s">
        <v>88</v>
      </c>
      <c r="I35" s="175">
        <v>165004</v>
      </c>
      <c r="J35" s="174" t="s">
        <v>88</v>
      </c>
      <c r="K35" s="175">
        <v>146656</v>
      </c>
      <c r="L35" s="174" t="s">
        <v>88</v>
      </c>
      <c r="M35" s="175">
        <v>122125</v>
      </c>
      <c r="N35" s="174" t="s">
        <v>88</v>
      </c>
      <c r="O35" s="175">
        <v>103586</v>
      </c>
      <c r="P35" s="174" t="s">
        <v>88</v>
      </c>
      <c r="Q35" s="175">
        <v>90331</v>
      </c>
    </row>
  </sheetData>
  <mergeCells count="12">
    <mergeCell ref="N4:O4"/>
    <mergeCell ref="P4:Q4"/>
    <mergeCell ref="A21:Q21"/>
    <mergeCell ref="A23:Q23"/>
    <mergeCell ref="A6:Q6"/>
    <mergeCell ref="A8:Q8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4E8C-E891-4250-A1EC-B6D1A8CF535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Summary</vt:lpstr>
      <vt:lpstr>PASTE 1 MILE TABS ----&gt;</vt:lpstr>
      <vt:lpstr>1 mile summary tab</vt:lpstr>
      <vt:lpstr>1 mile demo quick</vt:lpstr>
      <vt:lpstr>1 mile 2025</vt:lpstr>
      <vt:lpstr>1 mile 2030</vt:lpstr>
      <vt:lpstr>1 mile age of HHer</vt:lpstr>
      <vt:lpstr>PASTE 3 MILE TABS ----&gt;</vt:lpstr>
      <vt:lpstr>3 mile summary</vt:lpstr>
      <vt:lpstr>3 mile demo quick</vt:lpstr>
      <vt:lpstr>3 mile 2025</vt:lpstr>
      <vt:lpstr>3 mile 2030</vt:lpstr>
      <vt:lpstr>3 mile age of HHer</vt:lpstr>
      <vt:lpstr>PASTE 5 MILE TABS ----&gt;</vt:lpstr>
      <vt:lpstr>5 mile summary</vt:lpstr>
      <vt:lpstr>5 mile demo quick</vt:lpstr>
      <vt:lpstr>5 mile 2025</vt:lpstr>
      <vt:lpstr>5 mile 2030</vt:lpstr>
      <vt:lpstr>5 mile age of HHer</vt:lpstr>
      <vt:lpstr>Sheet1</vt:lpstr>
      <vt:lpstr>Summary!Print_Area</vt:lpstr>
    </vt:vector>
  </TitlesOfParts>
  <Company>Argos Realty Partners,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Maberry</dc:creator>
  <cp:lastModifiedBy>Drew Dahlberg</cp:lastModifiedBy>
  <cp:lastPrinted>2019-02-26T17:28:52Z</cp:lastPrinted>
  <dcterms:created xsi:type="dcterms:W3CDTF">2007-02-09T14:24:53Z</dcterms:created>
  <dcterms:modified xsi:type="dcterms:W3CDTF">2025-08-26T16:02:56Z</dcterms:modified>
</cp:coreProperties>
</file>